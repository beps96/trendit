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2.xml" ContentType="application/vnd.ms-excel.slicer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trlProps/ctrlProp3.xml" ContentType="application/vnd.ms-excel.controlproperties+xml"/>
  <Override PartName="/xl/slicers/slicer3.xml" ContentType="application/vnd.ms-excel.slicer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rturo\Documents\trendit\PROYECTO AUTOS UTILITARIOS\ESTADISTICA\SINIESTRALIDAD\"/>
    </mc:Choice>
  </mc:AlternateContent>
  <xr:revisionPtr revIDLastSave="0" documentId="10_ncr:100000_{C19982BE-7623-4BE1-A912-2C8067A9934C}" xr6:coauthVersionLast="31" xr6:coauthVersionMax="31" xr10:uidLastSave="{00000000-0000-0000-0000-000000000000}"/>
  <bookViews>
    <workbookView xWindow="0" yWindow="0" windowWidth="20490" windowHeight="7155" tabRatio="857" firstSheet="2" activeTab="6" xr2:uid="{00000000-000D-0000-FFFF-FFFF00000000}"/>
  </bookViews>
  <sheets>
    <sheet name="Emisión " sheetId="8" state="hidden" r:id="rId1"/>
    <sheet name="Siniestros" sheetId="9" state="hidden" r:id="rId2"/>
    <sheet name="Resumen" sheetId="17" r:id="rId3"/>
    <sheet name="Top Siniestros" sheetId="5" r:id="rId4"/>
    <sheet name="Top Pesos" sheetId="19" r:id="rId5"/>
    <sheet name="Siniestros Nacional" sheetId="4" r:id="rId6"/>
    <sheet name="Detalle Siniestros" sheetId="12" r:id="rId7"/>
  </sheets>
  <definedNames>
    <definedName name="_xlnm._FilterDatabase" localSheetId="6" hidden="1">'Detalle Siniestros'!$A$1:$AX$285</definedName>
    <definedName name="SegmentaciónDeDatos_CAUSA">#N/A</definedName>
    <definedName name="SegmentaciónDeDatos_CAUSA1">#N/A</definedName>
    <definedName name="SegmentaciónDeDatos_CAUSA2">#N/A</definedName>
    <definedName name="SegmentaciónDeDatos_CIUDAD">#N/A</definedName>
    <definedName name="SegmentaciónDeDatos_CIUDAD1">#N/A</definedName>
    <definedName name="SegmentaciónDeDatos_CIUDAD2">#N/A</definedName>
    <definedName name="SegmentaciónDeDatos_COBERTURA_AFECTADA">#N/A</definedName>
    <definedName name="SegmentaciónDeDatos_COBERTURA_AFECTADA1">#N/A</definedName>
    <definedName name="SegmentaciónDeDatos_Nombre">#N/A</definedName>
    <definedName name="SegmentaciónDeDatos_TIPO_DE_SERVICIO">#N/A</definedName>
    <definedName name="SegmentaciónDeDatos_TIPO_DE_SERVICIO1">#N/A</definedName>
    <definedName name="SegmentaciónDeDatos_TIPO_DE_SERVICIO2">#N/A</definedName>
  </definedNames>
  <calcPr calcId="179017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O4" i="4" l="1"/>
  <c r="B28" i="4" l="1"/>
  <c r="C28" i="4"/>
  <c r="D28" i="4"/>
  <c r="O28" i="4" l="1"/>
  <c r="O5" i="4"/>
  <c r="N28" i="4" l="1"/>
  <c r="P4" i="4"/>
  <c r="B6" i="4"/>
  <c r="M27" i="4" l="1"/>
  <c r="L27" i="4"/>
  <c r="K27" i="4"/>
  <c r="J27" i="4"/>
  <c r="I27" i="4"/>
  <c r="H27" i="4"/>
  <c r="G27" i="4"/>
  <c r="F27" i="4"/>
  <c r="E27" i="4"/>
  <c r="D27" i="4"/>
  <c r="C27" i="4"/>
  <c r="B27" i="4"/>
  <c r="O27" i="4" l="1"/>
  <c r="N27" i="4"/>
  <c r="N4" i="4"/>
  <c r="N5" i="4"/>
  <c r="G6" i="4" l="1"/>
  <c r="H6" i="4"/>
  <c r="I6" i="4"/>
  <c r="J6" i="4"/>
  <c r="K6" i="4"/>
  <c r="L6" i="4"/>
  <c r="M6" i="4"/>
  <c r="F6" i="4"/>
  <c r="E6" i="4"/>
  <c r="P28" i="4"/>
  <c r="P27" i="4"/>
  <c r="P5" i="4"/>
  <c r="C6" i="4"/>
  <c r="D6" i="4"/>
  <c r="O29" i="4" l="1"/>
  <c r="O6" i="4"/>
  <c r="O30" i="4"/>
  <c r="O7" i="4"/>
</calcChain>
</file>

<file path=xl/sharedStrings.xml><?xml version="1.0" encoding="utf-8"?>
<sst xmlns="http://schemas.openxmlformats.org/spreadsheetml/2006/main" count="6464" uniqueCount="2034">
  <si>
    <t>Total general</t>
  </si>
  <si>
    <t>Total 62234</t>
  </si>
  <si>
    <t>Total 2018/2019</t>
  </si>
  <si>
    <t>201912</t>
  </si>
  <si>
    <t>201904</t>
  </si>
  <si>
    <t>201902</t>
  </si>
  <si>
    <t>201901</t>
  </si>
  <si>
    <t>201812</t>
  </si>
  <si>
    <t>2018/2019</t>
  </si>
  <si>
    <t>62234</t>
  </si>
  <si>
    <t>(5) / (4)</t>
  </si>
  <si>
    <t>(5)</t>
  </si>
  <si>
    <t>(4)</t>
  </si>
  <si>
    <t>(3)</t>
  </si>
  <si>
    <t>(2)</t>
  </si>
  <si>
    <t>(1)</t>
  </si>
  <si>
    <t>Devengada P</t>
  </si>
  <si>
    <t>Pagada</t>
  </si>
  <si>
    <t>Devengada E</t>
  </si>
  <si>
    <t>Emitida</t>
  </si>
  <si>
    <t>% Sin.</t>
  </si>
  <si>
    <t>Siniestro Ocurrido con GIA</t>
  </si>
  <si>
    <t>Prima</t>
  </si>
  <si>
    <t>Pólizas Vigentes</t>
  </si>
  <si>
    <t>Pólizas Emitidas</t>
  </si>
  <si>
    <t>Mes Fin de Vigencia</t>
  </si>
  <si>
    <t>Mes Inicio de Vigencia</t>
  </si>
  <si>
    <t>Vigencia</t>
  </si>
  <si>
    <t>Contrato</t>
  </si>
  <si>
    <t>EMISION</t>
  </si>
  <si>
    <t>Reporte de Siniestralidad por Vigencia y Mes</t>
  </si>
  <si>
    <t>201903</t>
  </si>
  <si>
    <t>(1)+(2)+(3)+(4)-(5)+(6)</t>
  </si>
  <si>
    <t>(6)</t>
  </si>
  <si>
    <t>Reserva Siniestros</t>
  </si>
  <si>
    <t>Reserva Salvamentos</t>
  </si>
  <si>
    <t>Ingresos</t>
  </si>
  <si>
    <t>Salvamentos Efectuados</t>
  </si>
  <si>
    <t>Gastos</t>
  </si>
  <si>
    <t>Siniestro pagado</t>
  </si>
  <si>
    <t>Pérdidas Totales</t>
  </si>
  <si>
    <t>Siniestros con costo</t>
  </si>
  <si>
    <t>Num. Siniestros</t>
  </si>
  <si>
    <t>Fecha de reclamación</t>
  </si>
  <si>
    <t>SINIESTROS</t>
  </si>
  <si>
    <t>Reporte de Siniestros por Fecha de ocurrido</t>
  </si>
  <si>
    <t>POLIZA</t>
  </si>
  <si>
    <t>MODULO</t>
  </si>
  <si>
    <t>AGENTE</t>
  </si>
  <si>
    <t>EMITIDA</t>
  </si>
  <si>
    <t>DEVENGADA E</t>
  </si>
  <si>
    <t>PAGADA</t>
  </si>
  <si>
    <t>DEVENGADA P</t>
  </si>
  <si>
    <t>PAGOS</t>
  </si>
  <si>
    <t>GASTOS</t>
  </si>
  <si>
    <t>SALVAMENTOS</t>
  </si>
  <si>
    <t>INGRESOS</t>
  </si>
  <si>
    <t>RVA. SALVAMENTOS</t>
  </si>
  <si>
    <t>RESERVA</t>
  </si>
  <si>
    <t>SINIESTRO TOTAL</t>
  </si>
  <si>
    <t>FECHA DE SINIESTRO</t>
  </si>
  <si>
    <t>CONTRATANTE</t>
  </si>
  <si>
    <t>NO. DE SERIE</t>
  </si>
  <si>
    <t>INICIO DE VIGENCIA</t>
  </si>
  <si>
    <t>FECHA DE TERMINO</t>
  </si>
  <si>
    <t>CARATULA</t>
  </si>
  <si>
    <t>CONTRATO</t>
  </si>
  <si>
    <t>STATUS POLIZA</t>
  </si>
  <si>
    <t>POLIZA PADRE</t>
  </si>
  <si>
    <t>ESTADO DE CIRCULACIÓN</t>
  </si>
  <si>
    <t>MODELO</t>
  </si>
  <si>
    <t>USO</t>
  </si>
  <si>
    <t>DESCRIPCIÓN DEL VEHICULO</t>
  </si>
  <si>
    <t>SINIESTRO</t>
  </si>
  <si>
    <t>NOMBRE DEL CONDUCTOR</t>
  </si>
  <si>
    <t>STATUS DE SINIESTROS</t>
  </si>
  <si>
    <t>DESCRIPCIÓN DE SINIESTRO</t>
  </si>
  <si>
    <t>ESTADO DE OCURRENCIA</t>
  </si>
  <si>
    <t>CAUSA</t>
  </si>
  <si>
    <t>HORA DE OCURRENCIA</t>
  </si>
  <si>
    <t>LUGAR_OCU</t>
  </si>
  <si>
    <t>FECHA DE REPORTE</t>
  </si>
  <si>
    <t>COBERTURA AFECTADA</t>
  </si>
  <si>
    <t>OFICINA</t>
  </si>
  <si>
    <t>RESPONSABLE</t>
  </si>
  <si>
    <t>DM_PAGOS</t>
  </si>
  <si>
    <t>GM_PAGOS</t>
  </si>
  <si>
    <t>RT_PAGOS</t>
  </si>
  <si>
    <t>RC_PAGOS</t>
  </si>
  <si>
    <t>OT_PAGOS</t>
  </si>
  <si>
    <t>1</t>
  </si>
  <si>
    <t>36868</t>
  </si>
  <si>
    <t>G.N.P. ARRENDAMIENTO Y ADMINISTRACION DE FLOTILLAS</t>
  </si>
  <si>
    <t>Cancelada</t>
  </si>
  <si>
    <t>00000309844611</t>
  </si>
  <si>
    <t>ESTADO DE MEXICO</t>
  </si>
  <si>
    <t>Privado</t>
  </si>
  <si>
    <t>AVEO F STD EE ABS A.AC. MP3 B/A 4P</t>
  </si>
  <si>
    <t>VERACRUZ</t>
  </si>
  <si>
    <t>AGUASCALIENTES</t>
  </si>
  <si>
    <t>3G1TB5CF6GL193233</t>
  </si>
  <si>
    <t>MICHOACAN</t>
  </si>
  <si>
    <t>QUINTANA ROO</t>
  </si>
  <si>
    <t>3G1TB5CF0GL192031</t>
  </si>
  <si>
    <t>CHIHUAHUA</t>
  </si>
  <si>
    <t>Vigente</t>
  </si>
  <si>
    <t>DISTRITO FEDERAL</t>
  </si>
  <si>
    <t>3G1TB5CF1GL196878</t>
  </si>
  <si>
    <t>Pendiente</t>
  </si>
  <si>
    <t>Distrito Federal</t>
  </si>
  <si>
    <t>CRISTALES</t>
  </si>
  <si>
    <t>PP</t>
  </si>
  <si>
    <t>HIDALGO</t>
  </si>
  <si>
    <t>3G1TB5CF3GL195330</t>
  </si>
  <si>
    <t>NUEVO LEON</t>
  </si>
  <si>
    <t>3G1TB5CF3GL197157</t>
  </si>
  <si>
    <t>3G1TB5CF3GL197191</t>
  </si>
  <si>
    <t>3G1TB5CF4GL194767</t>
  </si>
  <si>
    <t>3G1TB5CF4GL195465</t>
  </si>
  <si>
    <t>Terminado</t>
  </si>
  <si>
    <t>Mexico</t>
  </si>
  <si>
    <t>3G1TB5CF7GL195282</t>
  </si>
  <si>
    <t>GUANAJUATO</t>
  </si>
  <si>
    <t>COAHUILA</t>
  </si>
  <si>
    <t>3G1TB5CF7GL197193</t>
  </si>
  <si>
    <t>3G1TB5CF8GL197106</t>
  </si>
  <si>
    <t>3G1TB5CF7GL201114</t>
  </si>
  <si>
    <t>3G1TB5CF9GL198166</t>
  </si>
  <si>
    <t>PUEBLA</t>
  </si>
  <si>
    <t>COLISION</t>
  </si>
  <si>
    <t>3G1TB5CF2GL192290</t>
  </si>
  <si>
    <t>JALISCO</t>
  </si>
  <si>
    <t>3G1TB5CFXGL193557</t>
  </si>
  <si>
    <t>3G1TB5CF0GL192191</t>
  </si>
  <si>
    <t>SONORA</t>
  </si>
  <si>
    <t>QUERETARO</t>
  </si>
  <si>
    <t>3G1TB5CF1GL196637</t>
  </si>
  <si>
    <t>TAMAULIPAS</t>
  </si>
  <si>
    <t>3G1TB5CF9GL197017</t>
  </si>
  <si>
    <t>3G1TB5CF7GL196450</t>
  </si>
  <si>
    <t>3G1TB5CFXGL197057</t>
  </si>
  <si>
    <t>Jalisco</t>
  </si>
  <si>
    <t>YUCATAN</t>
  </si>
  <si>
    <t>3G1TB5CF1GL197349</t>
  </si>
  <si>
    <t>BAJA CALIFORNIA NTE.</t>
  </si>
  <si>
    <t>3G1TB5CF5GL192039</t>
  </si>
  <si>
    <t>3G1TB5CF5GL192106</t>
  </si>
  <si>
    <t>3G1TB5CF7GL194424</t>
  </si>
  <si>
    <t>3G1TB5CF7GL196982</t>
  </si>
  <si>
    <t>3G1TB5CF2GL194010</t>
  </si>
  <si>
    <t>3G1TB5CF5GL194602</t>
  </si>
  <si>
    <t>3G1TB5CF9GL194540</t>
  </si>
  <si>
    <t>3G1TB5CF9GL196725</t>
  </si>
  <si>
    <t>3G1TB5CF4GL196616</t>
  </si>
  <si>
    <t>3G1TB5CF2GL196176</t>
  </si>
  <si>
    <t>3G1TB5CF6GL193765</t>
  </si>
  <si>
    <t>SAN LUIS POTOSI</t>
  </si>
  <si>
    <t>3G1TB5CF7GL194813</t>
  </si>
  <si>
    <t>3G1TB5CF9GL196305</t>
  </si>
  <si>
    <t>3G1TB5CF3GL193433</t>
  </si>
  <si>
    <t>3G1TB5CF8GL195999</t>
  </si>
  <si>
    <t>NAYARIT</t>
  </si>
  <si>
    <t>Reabierto</t>
  </si>
  <si>
    <t>Baja California</t>
  </si>
  <si>
    <t>3G1TB5CF3GL196137</t>
  </si>
  <si>
    <t>3G1TB5CF4GL195109</t>
  </si>
  <si>
    <t>CHIAPAS</t>
  </si>
  <si>
    <t>3G1TB5CF5GL196432</t>
  </si>
  <si>
    <t>SINALOA</t>
  </si>
  <si>
    <t>TABASCO</t>
  </si>
  <si>
    <t>3G1TB5CF2GL196274</t>
  </si>
  <si>
    <t>3G1TB5CF1GL196198</t>
  </si>
  <si>
    <t>3RO EN EL LUGAR</t>
  </si>
  <si>
    <t>3G1TB5CF9GL196174</t>
  </si>
  <si>
    <t>3G1TB5CF2GL194671</t>
  </si>
  <si>
    <t>1GCZG9FG2G1173888</t>
  </si>
  <si>
    <t>1GCZG9FG1G1178466</t>
  </si>
  <si>
    <t>3G1TB5CF1GL204364</t>
  </si>
  <si>
    <t>00000310155684</t>
  </si>
  <si>
    <t>3G1TB5CF1GL204767</t>
  </si>
  <si>
    <t>20190410</t>
  </si>
  <si>
    <t>0091719799</t>
  </si>
  <si>
    <t>DANO DE CRISTAL PARABRISAS  CR SMS  5533342954</t>
  </si>
  <si>
    <t>Sinaloa</t>
  </si>
  <si>
    <t>14:27</t>
  </si>
  <si>
    <t>3G1TB5CF2GL203370</t>
  </si>
  <si>
    <t>3G1TB5CF3HL107412</t>
  </si>
  <si>
    <t>3G1TB5CF5HL107492</t>
  </si>
  <si>
    <t>3G1TB5CF7HL106568</t>
  </si>
  <si>
    <t>3G1TB5CF4HL109346</t>
  </si>
  <si>
    <t>3G1TB5CF5HL108674</t>
  </si>
  <si>
    <t>VALENTIN ARTURO RODRIGUEZ HERRERA</t>
  </si>
  <si>
    <t>Puebla</t>
  </si>
  <si>
    <t>3G1TB5CF1HL153479</t>
  </si>
  <si>
    <t>3G1TB5CF6HL126262</t>
  </si>
  <si>
    <t>3G1TB5CF7HL125699</t>
  </si>
  <si>
    <t>3G1TB5CF9HL125977</t>
  </si>
  <si>
    <t>3ERO EN LUGAR</t>
  </si>
  <si>
    <t>3G1TB5CF7HL125928</t>
  </si>
  <si>
    <t>3G1TB5CF9HL152385</t>
  </si>
  <si>
    <t>MORELOS</t>
  </si>
  <si>
    <t>3G1TB5CF3HL127272</t>
  </si>
  <si>
    <t>3G1TB5CF1HL126556</t>
  </si>
  <si>
    <t>3G1TB5CF9HL127308</t>
  </si>
  <si>
    <t>3G1TB5CF8HL165919</t>
  </si>
  <si>
    <t>3G1TB5CF9HL150247</t>
  </si>
  <si>
    <t>3G1TB5CF7HL166818</t>
  </si>
  <si>
    <t>3G1TB5CF8HL149672</t>
  </si>
  <si>
    <t>3G1TB5CF8HL151647</t>
  </si>
  <si>
    <t>FRANCISCO JAVIER PAEZ VENECIA</t>
  </si>
  <si>
    <t>Nuevo Leon</t>
  </si>
  <si>
    <t>3G1TB5CF8HL163507</t>
  </si>
  <si>
    <t>3G1TB5CF8HL164480</t>
  </si>
  <si>
    <t>3G1TB5CF8HL164706</t>
  </si>
  <si>
    <t>3G1TB5CF1HL127240</t>
  </si>
  <si>
    <t>3G1TB5CF5HL127242</t>
  </si>
  <si>
    <t>3G1TB5CF1HL127268</t>
  </si>
  <si>
    <t>3G1TB5CF6HL126536</t>
  </si>
  <si>
    <t>3G1TB5CFXHL127009</t>
  </si>
  <si>
    <t>DURANGO</t>
  </si>
  <si>
    <t>Durango</t>
  </si>
  <si>
    <t>3G1TB5CF9HL126160</t>
  </si>
  <si>
    <t>3G1TB5CF0HL149651</t>
  </si>
  <si>
    <t>3G1TB5CF0HL151772</t>
  </si>
  <si>
    <t>3G1TB5CF0HL163551</t>
  </si>
  <si>
    <t>3G1TB5CF0HL164375</t>
  </si>
  <si>
    <t>3G1TB5CF1HL150274</t>
  </si>
  <si>
    <t>3G1TB5CF1HL165020</t>
  </si>
  <si>
    <t>3G1TB5CF9HL165976</t>
  </si>
  <si>
    <t>3G1TB5CF2HL152003</t>
  </si>
  <si>
    <t>3G1TB5CF2HL152745</t>
  </si>
  <si>
    <t>3G1TB5CF2HL164832</t>
  </si>
  <si>
    <t>3G1TB5CF2HL165317</t>
  </si>
  <si>
    <t>3G1TB5CF2HL165382</t>
  </si>
  <si>
    <t>3G1TB5CF3HL162409</t>
  </si>
  <si>
    <t>3G1TB5CF3HL162474</t>
  </si>
  <si>
    <t>3G1TB5CF3HL162765</t>
  </si>
  <si>
    <t>Chihuahua</t>
  </si>
  <si>
    <t>09:00</t>
  </si>
  <si>
    <t>3G1TB5CF3HL163379</t>
  </si>
  <si>
    <t>3G1TB5CF3HL165164</t>
  </si>
  <si>
    <t>3G1TB5CF3HL166041</t>
  </si>
  <si>
    <t>3RO EN LUGAR</t>
  </si>
  <si>
    <t>3G1TB5CF4HL162919</t>
  </si>
  <si>
    <t>20190311</t>
  </si>
  <si>
    <t>16:52</t>
  </si>
  <si>
    <t>3G1TB5CF4HL163567</t>
  </si>
  <si>
    <t>3G1TB5CF4HL165870</t>
  </si>
  <si>
    <t>3G1TB5CF4HL166114</t>
  </si>
  <si>
    <t>3G1TB5CF4HL166128</t>
  </si>
  <si>
    <t>3G1TB5CF4HL166193</t>
  </si>
  <si>
    <t>22:51</t>
  </si>
  <si>
    <t>3G1TB5CF5HL149841</t>
  </si>
  <si>
    <t>3G1TB5CF5HL150780</t>
  </si>
  <si>
    <t>00000310158670</t>
  </si>
  <si>
    <t>3G1TB5CF5HL152805</t>
  </si>
  <si>
    <t>0090676172</t>
  </si>
  <si>
    <t>CRISTAL LATERAL TRASERO</t>
  </si>
  <si>
    <t>Coahuila</t>
  </si>
  <si>
    <t>10:47</t>
  </si>
  <si>
    <t>3G1TB5CF5HL163190</t>
  </si>
  <si>
    <t>3G1TB5CF5HL163402</t>
  </si>
  <si>
    <t>3G1TB5CF5HL165215</t>
  </si>
  <si>
    <t>3G1TB5CF5HL166218</t>
  </si>
  <si>
    <t>3G1TB5CF6HL150173</t>
  </si>
  <si>
    <t>3G1TB5CF6HL150836</t>
  </si>
  <si>
    <t>DAVID CARDENAS ECHEVERRIA</t>
  </si>
  <si>
    <t>3G1TB5CF6HL163618</t>
  </si>
  <si>
    <t>3G1TB5CF6HL163845</t>
  </si>
  <si>
    <t>3G1TB5CF6HL164199</t>
  </si>
  <si>
    <t>3G1TB5CF6HL165062</t>
  </si>
  <si>
    <t>00000310159017</t>
  </si>
  <si>
    <t>3G1TB5CF6HL165756</t>
  </si>
  <si>
    <t>3G1TB5CF6HL166003</t>
  </si>
  <si>
    <t>3G1TB5CF7HL151333</t>
  </si>
  <si>
    <t>3G1TB5CF7HL151980</t>
  </si>
  <si>
    <t>3G1TB5CF7HL163143</t>
  </si>
  <si>
    <t>Yucatan</t>
  </si>
  <si>
    <t>3G1TB5CF7HL164065</t>
  </si>
  <si>
    <t>3G1TB5CF7HL165863</t>
  </si>
  <si>
    <t>3G1TB5CF4HL126521</t>
  </si>
  <si>
    <t>3G1TB5CFXHL152136</t>
  </si>
  <si>
    <t>20190222</t>
  </si>
  <si>
    <t>3G1TB5CFXHL164173</t>
  </si>
  <si>
    <t>3G1TB5CFXHL165808</t>
  </si>
  <si>
    <t>3GNCJ7CE6HL205354</t>
  </si>
  <si>
    <t>CHEVROLET TRAX LS 5V STD.</t>
  </si>
  <si>
    <t>MA6CB5CD9JT048812</t>
  </si>
  <si>
    <t>9BD26555XJ9092822</t>
  </si>
  <si>
    <t>AVEO LT SEDAN W STD</t>
  </si>
  <si>
    <t>3G1TA5CF4JL181396</t>
  </si>
  <si>
    <t>BAJA CALIFORNIA SUR</t>
  </si>
  <si>
    <t>16:13</t>
  </si>
  <si>
    <t>3G1TA5CF4JL194715</t>
  </si>
  <si>
    <t>3G1TA5CF6JL186762</t>
  </si>
  <si>
    <t>JUAN CARLOS ORTIZ NAVA</t>
  </si>
  <si>
    <t>Morelos</t>
  </si>
  <si>
    <t>13:35</t>
  </si>
  <si>
    <t>Sonora</t>
  </si>
  <si>
    <t>3G1TA5CF7JL184762</t>
  </si>
  <si>
    <t>3G1TA5CF5JL197199</t>
  </si>
  <si>
    <t>11:45</t>
  </si>
  <si>
    <t>3G1TA5CF5JL192519</t>
  </si>
  <si>
    <t>3G1TA5CF3JL199758</t>
  </si>
  <si>
    <t>3G1TA5CF3JL192664</t>
  </si>
  <si>
    <t>3G1TA5CF3JL190235</t>
  </si>
  <si>
    <t>3G1TA5CF1JL183767</t>
  </si>
  <si>
    <t>3G1TA5CF3JL187206</t>
  </si>
  <si>
    <t>3G1TA5CF3JL189229</t>
  </si>
  <si>
    <t>3G1TA5CF8JL199383</t>
  </si>
  <si>
    <t>3G1TA5CF0JL197160</t>
  </si>
  <si>
    <t>3G1TA5CF0JL197479</t>
  </si>
  <si>
    <t>3G1TA5CF4JL198490</t>
  </si>
  <si>
    <t>20190308</t>
  </si>
  <si>
    <t>Guanajuato</t>
  </si>
  <si>
    <t>16:43</t>
  </si>
  <si>
    <t>3G1TA5CF8JL194460</t>
  </si>
  <si>
    <t>3G1TA5CF0JL184067</t>
  </si>
  <si>
    <t>3G1TA5CF0JL188765</t>
  </si>
  <si>
    <t>3G1TA5CF7JL200829</t>
  </si>
  <si>
    <t>Michoacan</t>
  </si>
  <si>
    <t>15:14</t>
  </si>
  <si>
    <t>3G1TA5CF3JL187061</t>
  </si>
  <si>
    <t>3G1TA5CFXJL196937</t>
  </si>
  <si>
    <t>San Luis Potosi</t>
  </si>
  <si>
    <t>3G1TA5CFXJL198266</t>
  </si>
  <si>
    <t>3G1TA5CF7JL194899</t>
  </si>
  <si>
    <t>3G1TA5CF7JL197382</t>
  </si>
  <si>
    <t>23:43</t>
  </si>
  <si>
    <t>3G1TA5CF2JL197046</t>
  </si>
  <si>
    <t>00000310160759</t>
  </si>
  <si>
    <t>3G1TA5CFXJL201358</t>
  </si>
  <si>
    <t>3G1TA5CF7JL190920</t>
  </si>
  <si>
    <t>3RO POINTER GRIS</t>
  </si>
  <si>
    <t>3G1TA5CF1JL181470</t>
  </si>
  <si>
    <t>3G1TA5CF9JL193284</t>
  </si>
  <si>
    <t>3G1TA5CF1JL190069</t>
  </si>
  <si>
    <t>3G1TA5CF1JL195725</t>
  </si>
  <si>
    <t>JESUS ANTONIO FRANCO CABRERA</t>
  </si>
  <si>
    <t>10:30</t>
  </si>
  <si>
    <t>00000310161328</t>
  </si>
  <si>
    <t>3G1TA5CF6JL189502</t>
  </si>
  <si>
    <t>3G1TA5CF6JL193226</t>
  </si>
  <si>
    <t>ALEJANDRO SANCHEZ Y SANCHEZ</t>
  </si>
  <si>
    <t>Veracruz</t>
  </si>
  <si>
    <t>16:00</t>
  </si>
  <si>
    <t>3G1TA5CF6JL194425</t>
  </si>
  <si>
    <t>3G1TA5CF6JL195199</t>
  </si>
  <si>
    <t>3G1TA5CF6JL196658</t>
  </si>
  <si>
    <t>3G1TA5CF2JL190176</t>
  </si>
  <si>
    <t>00000310161682</t>
  </si>
  <si>
    <t>3G1TA5CF2JL190596</t>
  </si>
  <si>
    <t>20190422</t>
  </si>
  <si>
    <t>0092023068</t>
  </si>
  <si>
    <t>MANUEL DELGADO ESPINOZA</t>
  </si>
  <si>
    <t>12:06</t>
  </si>
  <si>
    <t>3G1TA5CF2JL192378</t>
  </si>
  <si>
    <t>3G1TA5CF2JL193725</t>
  </si>
  <si>
    <t>00000310161898</t>
  </si>
  <si>
    <t>3G1TA5CF3JL238350</t>
  </si>
  <si>
    <t>00000310161906</t>
  </si>
  <si>
    <t>3G1TA5CF3JL239241</t>
  </si>
  <si>
    <t>00000310161930</t>
  </si>
  <si>
    <t>3G1TA5CF7JL240778</t>
  </si>
  <si>
    <t>0090122037</t>
  </si>
  <si>
    <t>AUTOAJUSTE CL</t>
  </si>
  <si>
    <t>11:44</t>
  </si>
  <si>
    <t>3G1TA5CFXJL238913</t>
  </si>
  <si>
    <t>TOYOTA PRIUS C L4 1.5 HB HYBRID CVT</t>
  </si>
  <si>
    <t>NOE ISRAEL BERNAL RICO</t>
  </si>
  <si>
    <t>09:08</t>
  </si>
  <si>
    <t>JTDKDTB33K1621400</t>
  </si>
  <si>
    <t>MEDICA MOVIL, S.A. DE C.V.</t>
  </si>
  <si>
    <t>1FDSS3EL3DDA69170</t>
  </si>
  <si>
    <t>Ambulancia</t>
  </si>
  <si>
    <t>1FDSS3EL4DDA77875</t>
  </si>
  <si>
    <t>1FDSS3EL2DDA91533</t>
  </si>
  <si>
    <t>1FDWE3FSXEDB18803</t>
  </si>
  <si>
    <t>19:51</t>
  </si>
  <si>
    <t>3N1CK3CD1JL213277</t>
  </si>
  <si>
    <t>3N1CK3CD8JL214958</t>
  </si>
  <si>
    <t>Grua</t>
  </si>
  <si>
    <t>JAANPR759D7005063</t>
  </si>
  <si>
    <t>13:47</t>
  </si>
  <si>
    <t>JAANPR750D7004898</t>
  </si>
  <si>
    <t>JAANPR755D7005061</t>
  </si>
  <si>
    <t>3N1CK3CD5JL212794</t>
  </si>
  <si>
    <t>MARCOS JOEL LEYVA HERNANDEZ</t>
  </si>
  <si>
    <t>CESAR MANUEL ORTIZ FONSECA</t>
  </si>
  <si>
    <t>16:29</t>
  </si>
  <si>
    <t>13:42</t>
  </si>
  <si>
    <t>00000310946546</t>
  </si>
  <si>
    <t>JTDKDTB35K1624802</t>
  </si>
  <si>
    <t>00000310946553</t>
  </si>
  <si>
    <t>JTDKDTB37K1624798</t>
  </si>
  <si>
    <t>HAY 3RO</t>
  </si>
  <si>
    <t>08:30</t>
  </si>
  <si>
    <t>16:30</t>
  </si>
  <si>
    <t>00000316255587</t>
  </si>
  <si>
    <t>JTDKDTB34K1625343</t>
  </si>
  <si>
    <t>RAM PROMASTER RAPID L4 1.4 2P STD</t>
  </si>
  <si>
    <t>Año</t>
  </si>
  <si>
    <t>Ene</t>
  </si>
  <si>
    <t>Feb</t>
  </si>
  <si>
    <t>Mzo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</si>
  <si>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</si>
  <si>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</si>
  <si>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</si>
  <si>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</si>
  <si>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</si>
  <si>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</si>
  <si>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</si>
  <si>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</si>
  <si>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</si>
  <si>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Total Global</t>
  </si>
  <si>
    <t>Dif. +/-</t>
  </si>
  <si>
    <t>Diferencia:</t>
  </si>
  <si>
    <t>Porcentaje:</t>
  </si>
  <si>
    <t xml:space="preserve">2018 vs 2019 (Siniestros) </t>
  </si>
  <si>
    <t>PT 2018</t>
  </si>
  <si>
    <t>PT 2019</t>
  </si>
  <si>
    <t>ALONSO ORDO#EZ MARTINEZ</t>
  </si>
  <si>
    <t>ALDO PEREZ MARTINEZ</t>
  </si>
  <si>
    <t>10:20</t>
  </si>
  <si>
    <t>ARMANDO AGUILAR ARIAS</t>
  </si>
  <si>
    <t>ATROPELLO</t>
  </si>
  <si>
    <t>VUELCO</t>
  </si>
  <si>
    <t>DMGM</t>
  </si>
  <si>
    <t>MARCO ANTONIO CERVANTES GUIZAR</t>
  </si>
  <si>
    <t>20:14</t>
  </si>
  <si>
    <t>17:05</t>
  </si>
  <si>
    <t>12:57</t>
  </si>
  <si>
    <t>GERARDO MATA LOZANO</t>
  </si>
  <si>
    <t>G.N.P. ARRENDAMIENTO Y ADMINISTRACION DE FLOTILLAS, S.A. DEC.V.</t>
  </si>
  <si>
    <t>MARCO ANTONIO HERNANDEZ CORDERO</t>
  </si>
  <si>
    <t>13:20</t>
  </si>
  <si>
    <t>11:56</t>
  </si>
  <si>
    <t>DANIEL BRAYAN ALBITOS AVILA</t>
  </si>
  <si>
    <t>14:00</t>
  </si>
  <si>
    <t>10:33</t>
  </si>
  <si>
    <t>15:35</t>
  </si>
  <si>
    <t>11:50</t>
  </si>
  <si>
    <t>17:36</t>
  </si>
  <si>
    <t>10:45</t>
  </si>
  <si>
    <t>Ciudad de México</t>
  </si>
  <si>
    <t>Monterrey</t>
  </si>
  <si>
    <t>Toluca</t>
  </si>
  <si>
    <t>Agente Empleado</t>
  </si>
  <si>
    <t>AVES</t>
  </si>
  <si>
    <t>Culiacán</t>
  </si>
  <si>
    <t xml:space="preserve">2018 vs 2019 (Costo Miles) </t>
  </si>
  <si>
    <t>201905</t>
  </si>
  <si>
    <t>0090607094</t>
  </si>
  <si>
    <t>ADRIANA ZAVALA MADRIGAL</t>
  </si>
  <si>
    <t>CL CON POSTE</t>
  </si>
  <si>
    <t>20190523</t>
  </si>
  <si>
    <t>0093077410</t>
  </si>
  <si>
    <t>PATRICIA CORNEJO PERALTA</t>
  </si>
  <si>
    <t>21:47</t>
  </si>
  <si>
    <t>201906</t>
  </si>
  <si>
    <t>14:39</t>
  </si>
  <si>
    <t>18:02</t>
  </si>
  <si>
    <t>17:11</t>
  </si>
  <si>
    <t>VOLCADURA</t>
  </si>
  <si>
    <t>SAUL ALFREDO ESPARZA SERRANO</t>
  </si>
  <si>
    <t>20190618</t>
  </si>
  <si>
    <t>13:10</t>
  </si>
  <si>
    <t>20190624</t>
  </si>
  <si>
    <t>Tamaulipas</t>
  </si>
  <si>
    <t>20190614</t>
  </si>
  <si>
    <t>0093797322</t>
  </si>
  <si>
    <t>AUTOAJUSTE CR</t>
  </si>
  <si>
    <t>Guerrero</t>
  </si>
  <si>
    <t>14:44</t>
  </si>
  <si>
    <t>0094085776</t>
  </si>
  <si>
    <t>LARRY GUTIERREZ RIVERA</t>
  </si>
  <si>
    <t>COLISION CON OBJETO</t>
  </si>
  <si>
    <t>05:58</t>
  </si>
  <si>
    <t>0093915494</t>
  </si>
  <si>
    <t>15:29</t>
  </si>
  <si>
    <t>13:40</t>
  </si>
  <si>
    <t>15:11</t>
  </si>
  <si>
    <t>18:18</t>
  </si>
  <si>
    <t>10:56</t>
  </si>
  <si>
    <t>ALEJANDRO GONZALEZ LIMON</t>
  </si>
  <si>
    <t>19:00</t>
  </si>
  <si>
    <t>TOLEDO COLOR GRIS</t>
  </si>
  <si>
    <t>RICARDO VILLA LARA</t>
  </si>
  <si>
    <t>-</t>
  </si>
  <si>
    <t>Prom. Ene-Jun</t>
  </si>
  <si>
    <t>Suma de SINIESTRO TOTAL</t>
  </si>
  <si>
    <t>Acum. Ene-Jul</t>
  </si>
  <si>
    <t>Corte: Julio '19</t>
  </si>
  <si>
    <t>201907</t>
  </si>
  <si>
    <t>Fecha elaboración: 13/08/2019</t>
  </si>
  <si>
    <t>LUIS ALBERTO SOTO GARCIA</t>
  </si>
  <si>
    <t>14:36</t>
  </si>
  <si>
    <t>HUGO DONALDO SUAREZ DIAZ</t>
  </si>
  <si>
    <t>12:39</t>
  </si>
  <si>
    <t>20190724</t>
  </si>
  <si>
    <t>0095102315</t>
  </si>
  <si>
    <t>INCENDIO</t>
  </si>
  <si>
    <t>16:04</t>
  </si>
  <si>
    <t>DM</t>
  </si>
  <si>
    <t>20190722</t>
  </si>
  <si>
    <t>10:16</t>
  </si>
  <si>
    <t>20190701</t>
  </si>
  <si>
    <t>10:26</t>
  </si>
  <si>
    <t>10:57</t>
  </si>
  <si>
    <t>DANIEL JIMENEZ ALMARAZ</t>
  </si>
  <si>
    <t>11:03</t>
  </si>
  <si>
    <t>0094999992</t>
  </si>
  <si>
    <t>JONATHAN RAMIREZ AGUIRRE</t>
  </si>
  <si>
    <t>08:38</t>
  </si>
  <si>
    <t>0094351350</t>
  </si>
  <si>
    <t>3ERO MAZDA BLANCO</t>
  </si>
  <si>
    <t>17:54</t>
  </si>
  <si>
    <t>16144</t>
  </si>
  <si>
    <t>17157</t>
  </si>
  <si>
    <t>Acapulco</t>
  </si>
  <si>
    <t>18106</t>
  </si>
  <si>
    <t>18145</t>
  </si>
  <si>
    <t>18170</t>
  </si>
  <si>
    <t>18188</t>
  </si>
  <si>
    <t>18189</t>
  </si>
  <si>
    <t>18192</t>
  </si>
  <si>
    <t>19135</t>
  </si>
  <si>
    <t>TIPO DE SERVICIO</t>
  </si>
  <si>
    <t>CIUDAD</t>
  </si>
  <si>
    <t>ECO.</t>
  </si>
  <si>
    <t>MES SINIESTRO</t>
  </si>
  <si>
    <t>Nombre</t>
  </si>
  <si>
    <t>Gutiérrez Campos Wilfrido Gerardo</t>
  </si>
  <si>
    <t>17182</t>
  </si>
  <si>
    <t>Ramírez Aguirre Jonathan Jovany</t>
  </si>
  <si>
    <t>19136</t>
  </si>
  <si>
    <t>Mario Pulido</t>
  </si>
  <si>
    <t>19189</t>
  </si>
  <si>
    <t>Rivera Torres Daniela Jazmín</t>
  </si>
  <si>
    <t>Delgado Espinosa Manuel</t>
  </si>
  <si>
    <t>Cornejo Peralta Patricia</t>
  </si>
  <si>
    <t>Cárdenas Aceval Ulises</t>
  </si>
  <si>
    <t>José de Jesús Diaz Suárez</t>
  </si>
  <si>
    <t>09:35</t>
  </si>
  <si>
    <t>PASEO TABASCO 1120</t>
  </si>
  <si>
    <t>TERCERO</t>
  </si>
  <si>
    <t>11:16</t>
  </si>
  <si>
    <t>BARRANCA DEL MUERTO</t>
  </si>
  <si>
    <t>OTROS</t>
  </si>
  <si>
    <t>01:39</t>
  </si>
  <si>
    <t>ESCOBEDO 235</t>
  </si>
  <si>
    <t>MEXICO</t>
  </si>
  <si>
    <t>09:07</t>
  </si>
  <si>
    <t>RIO SAN JAVIER</t>
  </si>
  <si>
    <t>ASEGURADO</t>
  </si>
  <si>
    <t>22:21</t>
  </si>
  <si>
    <t>PERIFERICO</t>
  </si>
  <si>
    <t>14:22</t>
  </si>
  <si>
    <t>PASEO DE LA CRUZ</t>
  </si>
  <si>
    <t>18:41</t>
  </si>
  <si>
    <t>SIMON BOLIVAR</t>
  </si>
  <si>
    <t>16:36</t>
  </si>
  <si>
    <t>CERRO DE LAS TORRES</t>
  </si>
  <si>
    <t>09:44</t>
  </si>
  <si>
    <t>00:16</t>
  </si>
  <si>
    <t>CIENTIFICOS</t>
  </si>
  <si>
    <t>11:07</t>
  </si>
  <si>
    <t>13:54</t>
  </si>
  <si>
    <t>RICARDO MARGAIN</t>
  </si>
  <si>
    <t>12:52</t>
  </si>
  <si>
    <t>PASEO DE LAS AZUCENAS</t>
  </si>
  <si>
    <t>19:11</t>
  </si>
  <si>
    <t>BARRO SIERRA</t>
  </si>
  <si>
    <t>15:48</t>
  </si>
  <si>
    <t>19:01</t>
  </si>
  <si>
    <t>ALVARO OBREGON</t>
  </si>
  <si>
    <t>10:12</t>
  </si>
  <si>
    <t>17:12</t>
  </si>
  <si>
    <t>17:13</t>
  </si>
  <si>
    <t>PUENTE LOPEZ PORTILLO</t>
  </si>
  <si>
    <t>17:40</t>
  </si>
  <si>
    <t>LOPEZ PORTILLO</t>
  </si>
  <si>
    <t>15:44</t>
  </si>
  <si>
    <t>PARABRISAS</t>
  </si>
  <si>
    <t>13:11</t>
  </si>
  <si>
    <t>13:05</t>
  </si>
  <si>
    <t>EMILIO PORTES GIL 578</t>
  </si>
  <si>
    <t>21:02</t>
  </si>
  <si>
    <t>VILLANUVA</t>
  </si>
  <si>
    <t>17:20</t>
  </si>
  <si>
    <t>11:15</t>
  </si>
  <si>
    <t>LAZARO CARDENAS</t>
  </si>
  <si>
    <t>14:24</t>
  </si>
  <si>
    <t>3</t>
  </si>
  <si>
    <t>18:26</t>
  </si>
  <si>
    <t>11:00</t>
  </si>
  <si>
    <t>CIRCUMBALACION 0</t>
  </si>
  <si>
    <t>12:11</t>
  </si>
  <si>
    <t>SAN PABLO</t>
  </si>
  <si>
    <t>12:23</t>
  </si>
  <si>
    <t>CIRCUMBALACION</t>
  </si>
  <si>
    <t>14:29</t>
  </si>
  <si>
    <t>18:11</t>
  </si>
  <si>
    <t>FRAY LUIS DE LEON</t>
  </si>
  <si>
    <t>12:40</t>
  </si>
  <si>
    <t>AV CAMELINAS 0</t>
  </si>
  <si>
    <t>12:19</t>
  </si>
  <si>
    <t>15:32</t>
  </si>
  <si>
    <t>FELIPE ANGELES</t>
  </si>
  <si>
    <t>19:35</t>
  </si>
  <si>
    <t>SANTA CATARINA</t>
  </si>
  <si>
    <t>CALLE 90NORTE</t>
  </si>
  <si>
    <t>20:10</t>
  </si>
  <si>
    <t>CAMINO REAL A CHOLULA</t>
  </si>
  <si>
    <t>08:54</t>
  </si>
  <si>
    <t>31 ORIENTE 0</t>
  </si>
  <si>
    <t>12:43</t>
  </si>
  <si>
    <t>13 PONIENTE 1713</t>
  </si>
  <si>
    <t>14:50</t>
  </si>
  <si>
    <t>04:06</t>
  </si>
  <si>
    <t>PRESA DON MARTIN 0</t>
  </si>
  <si>
    <t>PRESA DE LA ANGOSTURA 76</t>
  </si>
  <si>
    <t>16:44</t>
  </si>
  <si>
    <t>15:27</t>
  </si>
  <si>
    <t>15:45</t>
  </si>
  <si>
    <t>TAMPICO..TUXPAN</t>
  </si>
  <si>
    <t>03:58</t>
  </si>
  <si>
    <t>PANUCO.TEMPOAL</t>
  </si>
  <si>
    <t>LOPEZ MATEOS</t>
  </si>
  <si>
    <t>TAMPICO    SOLOAMA</t>
  </si>
  <si>
    <t>CENTRAL</t>
  </si>
  <si>
    <t>14:31</t>
  </si>
  <si>
    <t>SANTO DOMINGO</t>
  </si>
  <si>
    <t>08:40</t>
  </si>
  <si>
    <t>VASCONCELOS 0</t>
  </si>
  <si>
    <t>10:06</t>
  </si>
  <si>
    <t>DIAGONAL REFORMA 0</t>
  </si>
  <si>
    <t>08:32</t>
  </si>
  <si>
    <t>Quinta Norte Pte No. 1523 Col Moctezuma CP 30700 . .</t>
  </si>
  <si>
    <t>07:19</t>
  </si>
  <si>
    <t>CARRETERA SAN LUIS POTOSI LAGOS DE MORENO</t>
  </si>
  <si>
    <t>19:32</t>
  </si>
  <si>
    <t>BAJA CALIFORNIA</t>
  </si>
  <si>
    <t>13:00</t>
  </si>
  <si>
    <t>CR PARABRISAS</t>
  </si>
  <si>
    <t>10:13</t>
  </si>
  <si>
    <t>10:15</t>
  </si>
  <si>
    <t>61</t>
  </si>
  <si>
    <t>21:22</t>
  </si>
  <si>
    <t>RELACION CON SINIESTRO</t>
  </si>
  <si>
    <t>10:59</t>
  </si>
  <si>
    <t>18:05</t>
  </si>
  <si>
    <t>17:31</t>
  </si>
  <si>
    <t>PRIMERO DE MAYO</t>
  </si>
  <si>
    <t>LATERAL PERIFERICO</t>
  </si>
  <si>
    <t>ROBO CON ASALTO                                   R</t>
  </si>
  <si>
    <t>22:16</t>
  </si>
  <si>
    <t>SANTA ROSALIA</t>
  </si>
  <si>
    <t>RT</t>
  </si>
  <si>
    <t>09:49</t>
  </si>
  <si>
    <t>CERRO DE LAS   TORRES 395</t>
  </si>
  <si>
    <t>16:46</t>
  </si>
  <si>
    <t>DE LOA LEONES</t>
  </si>
  <si>
    <t>10:37</t>
  </si>
  <si>
    <t>PERIFERICO SUR</t>
  </si>
  <si>
    <t>16:59</t>
  </si>
  <si>
    <t>CRISTAL 0</t>
  </si>
  <si>
    <t>MARTINIANA ROMERO 2139</t>
  </si>
  <si>
    <t>11:30</t>
  </si>
  <si>
    <t>AVIACION</t>
  </si>
  <si>
    <t>07:17</t>
  </si>
  <si>
    <t>DE TLALPAN</t>
  </si>
  <si>
    <t>15:43</t>
  </si>
  <si>
    <t>RIO BECERRA</t>
  </si>
  <si>
    <t>11:28</t>
  </si>
  <si>
    <t>DIVISIOND EL NORTE 3710</t>
  </si>
  <si>
    <t>20:00</t>
  </si>
  <si>
    <t>FRAY SERBANTO</t>
  </si>
  <si>
    <t>19:52</t>
  </si>
  <si>
    <t>10:25</t>
  </si>
  <si>
    <t>AJUSTE 2.0</t>
  </si>
  <si>
    <t>14:21</t>
  </si>
  <si>
    <t>Glaass Delegacion Coyoacan Suc. Tlalpan	Calzada De Tlalpan . 1858. Col. Country</t>
  </si>
  <si>
    <t>12:42</t>
  </si>
  <si>
    <t>JOSE MARIA IBARRAN</t>
  </si>
  <si>
    <t>13:36</t>
  </si>
  <si>
    <t>MEXICO PACHUCA</t>
  </si>
  <si>
    <t>09:06</t>
  </si>
  <si>
    <t>CANAL DE MIRAMONTES 1498</t>
  </si>
  <si>
    <t>21:40</t>
  </si>
  <si>
    <t>OBRERO MUNDIAL</t>
  </si>
  <si>
    <t>19:15</t>
  </si>
  <si>
    <t>GRAN BOULAVRD LOMOS</t>
  </si>
  <si>
    <t>12:44</t>
  </si>
  <si>
    <t>PASEO OPERA</t>
  </si>
  <si>
    <t>08:31</t>
  </si>
  <si>
    <t>MIGUEL ANGEL DE QUEVEDO</t>
  </si>
  <si>
    <t>14:30</t>
  </si>
  <si>
    <t>ARAMADA MEXICO 0</t>
  </si>
  <si>
    <t>08:10</t>
  </si>
  <si>
    <t>AV CONSTITUCION</t>
  </si>
  <si>
    <t>17:26</t>
  </si>
  <si>
    <t>MIGUEL ALEMAN</t>
  </si>
  <si>
    <t>07:46</t>
  </si>
  <si>
    <t>16:41</t>
  </si>
  <si>
    <t>13:24</t>
  </si>
  <si>
    <t>09:50</t>
  </si>
  <si>
    <t>A LAREDO</t>
  </si>
  <si>
    <t>17:56</t>
  </si>
  <si>
    <t>MEXICO     ACAPULCO</t>
  </si>
  <si>
    <t>10:11</t>
  </si>
  <si>
    <t>EMILIANO ZAPATA</t>
  </si>
  <si>
    <t>11:14</t>
  </si>
  <si>
    <t>AQUILES CERDAN</t>
  </si>
  <si>
    <t>11:51</t>
  </si>
  <si>
    <t>13:29</t>
  </si>
  <si>
    <t>RICARDO MARGAIN 0</t>
  </si>
  <si>
    <t>18:25</t>
  </si>
  <si>
    <t>GOMEZ MORIN 0</t>
  </si>
  <si>
    <t>15:57</t>
  </si>
  <si>
    <t>VERACRUZ  ALAMO</t>
  </si>
  <si>
    <t>15:42</t>
  </si>
  <si>
    <t>DIAZ MIRON</t>
  </si>
  <si>
    <t>3RA ZONA</t>
  </si>
  <si>
    <t>LEONA VICARIO 1232</t>
  </si>
  <si>
    <t>22:35</t>
  </si>
  <si>
    <t>VIA RAPIDA</t>
  </si>
  <si>
    <t>00:46</t>
  </si>
  <si>
    <t>AGUAFRIA</t>
  </si>
  <si>
    <t>13:25</t>
  </si>
  <si>
    <t>16 DE SEPTIEMBRE 201</t>
  </si>
  <si>
    <t>17:03</t>
  </si>
  <si>
    <t>TOLUCA. TLACOMULCO</t>
  </si>
  <si>
    <t>18:47</t>
  </si>
  <si>
    <t>12:35</t>
  </si>
  <si>
    <t>LERDO DE TEJADA 0</t>
  </si>
  <si>
    <t>09:46</t>
  </si>
  <si>
    <t>08:41</t>
  </si>
  <si>
    <t>FELIX CASTRO</t>
  </si>
  <si>
    <t>13:31</t>
  </si>
  <si>
    <t>PASEO DE LA SIERRA</t>
  </si>
  <si>
    <t>18:27</t>
  </si>
  <si>
    <t>15:01</t>
  </si>
  <si>
    <t>EXSTERIOR MEXIQUENSE</t>
  </si>
  <si>
    <t>09:48</t>
  </si>
  <si>
    <t>16:20</t>
  </si>
  <si>
    <t>FELIPE CARRILO</t>
  </si>
  <si>
    <t>20:09</t>
  </si>
  <si>
    <t>7</t>
  </si>
  <si>
    <t>CORREGIDORA NORTE</t>
  </si>
  <si>
    <t>JUAREZ</t>
  </si>
  <si>
    <t>PERIFERICO NORTE</t>
  </si>
  <si>
    <t>LOPEZ MATEOS 0</t>
  </si>
  <si>
    <t>12:37</t>
  </si>
  <si>
    <t>JUAN PABLO SEGUNDO</t>
  </si>
  <si>
    <t>MATANZAS 0</t>
  </si>
  <si>
    <t>08:13</t>
  </si>
  <si>
    <t>TLAHUAC</t>
  </si>
  <si>
    <t>10:40</t>
  </si>
  <si>
    <t>16:57</t>
  </si>
  <si>
    <t>19:20</t>
  </si>
  <si>
    <t>ACTOPAN. PACHUCA 500</t>
  </si>
  <si>
    <t>14:04</t>
  </si>
  <si>
    <t>MEDELLIN</t>
  </si>
  <si>
    <t>08:52</t>
  </si>
  <si>
    <t>GENERAL PLUTARCO ELIAS CALLES</t>
  </si>
  <si>
    <t>23:56</t>
  </si>
  <si>
    <t>19:30</t>
  </si>
  <si>
    <t>16:55</t>
  </si>
  <si>
    <t>09:53</t>
  </si>
  <si>
    <t>SUR 8</t>
  </si>
  <si>
    <t>10:00</t>
  </si>
  <si>
    <t>06:06</t>
  </si>
  <si>
    <t>11:46</t>
  </si>
  <si>
    <t>20B</t>
  </si>
  <si>
    <t>21:34</t>
  </si>
  <si>
    <t>AVENIDA CENTRAL 0</t>
  </si>
  <si>
    <t>CERRO DE LAS TORRES 395</t>
  </si>
  <si>
    <t>DEL CONSCRIPTO</t>
  </si>
  <si>
    <t>10:42</t>
  </si>
  <si>
    <t>AV REVOLUCION</t>
  </si>
  <si>
    <t>18:43</t>
  </si>
  <si>
    <t>CALLE 16 514</t>
  </si>
  <si>
    <t>15:30</t>
  </si>
  <si>
    <t>09:15</t>
  </si>
  <si>
    <t>DIANA ARTEMIZA</t>
  </si>
  <si>
    <t>SOLIDARIDAD</t>
  </si>
  <si>
    <t>TOMAS ESTEVEZ</t>
  </si>
  <si>
    <t>08:18</t>
  </si>
  <si>
    <t>CHURUBUSCO</t>
  </si>
  <si>
    <t>DMRC</t>
  </si>
  <si>
    <t>18:16</t>
  </si>
  <si>
    <t>MONTE CALVARIO</t>
  </si>
  <si>
    <t>22:00</t>
  </si>
  <si>
    <t>MARIANO ESCOBEDO</t>
  </si>
  <si>
    <t>15:33</t>
  </si>
  <si>
    <t>11:33</t>
  </si>
  <si>
    <t>SD</t>
  </si>
  <si>
    <t>07:59</t>
  </si>
  <si>
    <t>TURBA</t>
  </si>
  <si>
    <t>17:17</t>
  </si>
  <si>
    <t>AV RIO CHURUBUSCO CARRIL LATERAL</t>
  </si>
  <si>
    <t>CALLE MIXTECAS</t>
  </si>
  <si>
    <t>08:14</t>
  </si>
  <si>
    <t>PASEO CENTRAL</t>
  </si>
  <si>
    <t>12:20</t>
  </si>
  <si>
    <t>CARRTEREA SAN PEDRO 4 CIENEGAS</t>
  </si>
  <si>
    <t>DMGMRC</t>
  </si>
  <si>
    <t>19:22</t>
  </si>
  <si>
    <t>EJE 6 0</t>
  </si>
  <si>
    <t>AJUSTADOR PRESENTE 0</t>
  </si>
  <si>
    <t>57</t>
  </si>
  <si>
    <t>GONZALO GUERRERO</t>
  </si>
  <si>
    <t>12:31</t>
  </si>
  <si>
    <t>VALSEQUILLO</t>
  </si>
  <si>
    <t>21:05</t>
  </si>
  <si>
    <t>PALERMO</t>
  </si>
  <si>
    <t>10:03</t>
  </si>
  <si>
    <t>CALLE HERIBERTO VALDES</t>
  </si>
  <si>
    <t>15:54</t>
  </si>
  <si>
    <t>ZARAGOZA 215</t>
  </si>
  <si>
    <t>MARCOS PARTIDA  118</t>
  </si>
  <si>
    <t>09:12</t>
  </si>
  <si>
    <t>11:02</t>
  </si>
  <si>
    <t>BENJAMIN FLANKLYN</t>
  </si>
  <si>
    <t>19:59</t>
  </si>
  <si>
    <t>BENJAMIN FRANKLIN</t>
  </si>
  <si>
    <t>CDA SANTA CRUZ TACALCO</t>
  </si>
  <si>
    <t>20:22</t>
  </si>
  <si>
    <t>LOMAS VERDES 0</t>
  </si>
  <si>
    <t>15:10</t>
  </si>
  <si>
    <t>16:40</t>
  </si>
  <si>
    <t>10:49</t>
  </si>
  <si>
    <t>AMORES 712</t>
  </si>
  <si>
    <t>01:50</t>
  </si>
  <si>
    <t>BATALLA DE PUEBLA MNZ 13 LT 262 0</t>
  </si>
  <si>
    <t>15:20</t>
  </si>
  <si>
    <t>OCASO 43</t>
  </si>
  <si>
    <t>UNIVERSIDAD 0</t>
  </si>
  <si>
    <t>CANAL DE GARAY 0</t>
  </si>
  <si>
    <t>08:42</t>
  </si>
  <si>
    <t>INGLATERRA 0</t>
  </si>
  <si>
    <t>15:22</t>
  </si>
  <si>
    <t>CALLE DE IGLESIA 270</t>
  </si>
  <si>
    <t>15:12</t>
  </si>
  <si>
    <t>CUERNAVACA MEXICO</t>
  </si>
  <si>
    <t>INSURGENTES NORTE 0</t>
  </si>
  <si>
    <t>13:15</t>
  </si>
  <si>
    <t>PABLO A GONZALES</t>
  </si>
  <si>
    <t>LAS AMERICAS</t>
  </si>
  <si>
    <t>12:45</t>
  </si>
  <si>
    <t>MADERO</t>
  </si>
  <si>
    <t>CIRCUITO PANULFO PADILLA 0</t>
  </si>
  <si>
    <t>12:13</t>
  </si>
  <si>
    <t>18:01</t>
  </si>
  <si>
    <t>16:22</t>
  </si>
  <si>
    <t>PASEO DE LA HERRADURA</t>
  </si>
  <si>
    <t>14:20</t>
  </si>
  <si>
    <t>ALBORADA 0</t>
  </si>
  <si>
    <t>11:06</t>
  </si>
  <si>
    <t>FEDERAL A CUERNAVACA</t>
  </si>
  <si>
    <t>08:59</t>
  </si>
  <si>
    <t>BORDO DE XOCHIACA 0</t>
  </si>
  <si>
    <t>20:03</t>
  </si>
  <si>
    <t>LIBRAMIENTO SAN JOSE AEROPUERTO</t>
  </si>
  <si>
    <t>10:48</t>
  </si>
  <si>
    <t>PASEO DE LOS LEONES 0</t>
  </si>
  <si>
    <t>PERIFERICO LATERAL A SATELITE</t>
  </si>
  <si>
    <t>09:02</t>
  </si>
  <si>
    <t>09:37</t>
  </si>
  <si>
    <t>FRANCISCO  VILLA</t>
  </si>
  <si>
    <t>18:33</t>
  </si>
  <si>
    <t>RIO CHURUBUSCO</t>
  </si>
  <si>
    <t>07:28</t>
  </si>
  <si>
    <t>ERMITA</t>
  </si>
  <si>
    <t>09:10</t>
  </si>
  <si>
    <t>14:32</t>
  </si>
  <si>
    <t>PAR VIAL</t>
  </si>
  <si>
    <t>19:25</t>
  </si>
  <si>
    <t>CARDENALES</t>
  </si>
  <si>
    <t>16:14</t>
  </si>
  <si>
    <t>IGNACIO ZARAGOZA</t>
  </si>
  <si>
    <t>10:35</t>
  </si>
  <si>
    <t>AV BOSQUE DE LAS PALMAS 0</t>
  </si>
  <si>
    <t>RIO CONSULADO</t>
  </si>
  <si>
    <t>14:48</t>
  </si>
  <si>
    <t>21:11</t>
  </si>
  <si>
    <t>20:53</t>
  </si>
  <si>
    <t>DIEGO RIVERA 1511</t>
  </si>
  <si>
    <t>CIRCUNVALACION 1377</t>
  </si>
  <si>
    <t>08:28</t>
  </si>
  <si>
    <t>20:31</t>
  </si>
  <si>
    <t>11 SUR</t>
  </si>
  <si>
    <t>GUADALUPE VICTORIA</t>
  </si>
  <si>
    <t>15:09</t>
  </si>
  <si>
    <t>DE LAS TORRES</t>
  </si>
  <si>
    <t>14:10</t>
  </si>
  <si>
    <t>AMERICAS</t>
  </si>
  <si>
    <t>09:22</t>
  </si>
  <si>
    <t>14:49</t>
  </si>
  <si>
    <t>ADOLFO LOPEZ MATEOS 3003</t>
  </si>
  <si>
    <t>21:35</t>
  </si>
  <si>
    <t>15:55</t>
  </si>
  <si>
    <t>04:55</t>
  </si>
  <si>
    <t>17:01</t>
  </si>
  <si>
    <t>EJE MORELOS</t>
  </si>
  <si>
    <t>ACUEDUCTO DE TENAYUCA</t>
  </si>
  <si>
    <t>09:51</t>
  </si>
  <si>
    <t>08:56</t>
  </si>
  <si>
    <t>AV LAZARO CARDENAS</t>
  </si>
  <si>
    <t>11:24</t>
  </si>
  <si>
    <t>15:07</t>
  </si>
  <si>
    <t>CAT. FENOMENOS NATURALES</t>
  </si>
  <si>
    <t>BLVD INSURGENTES 3356</t>
  </si>
  <si>
    <t>AUTOAJUSTE</t>
  </si>
  <si>
    <t>12:32</t>
  </si>
  <si>
    <t>MIGUEL ANGEL DE QUEBEDO</t>
  </si>
  <si>
    <t>08:04</t>
  </si>
  <si>
    <t>19:12</t>
  </si>
  <si>
    <t>00000264964016</t>
  </si>
  <si>
    <t>20180601</t>
  </si>
  <si>
    <t>3G1TA5AF1EL160840</t>
  </si>
  <si>
    <t>60250</t>
  </si>
  <si>
    <t>00000264753815</t>
  </si>
  <si>
    <t>AVEO B STD</t>
  </si>
  <si>
    <t>0081774929</t>
  </si>
  <si>
    <t>ROSA PATRICIA GIL MADRIGAL</t>
  </si>
  <si>
    <t>3EERO VW JETTA AZUL</t>
  </si>
  <si>
    <t>00000264964149</t>
  </si>
  <si>
    <t>20180410</t>
  </si>
  <si>
    <t>3G1TA5AFXEL159668</t>
  </si>
  <si>
    <t>0080179294</t>
  </si>
  <si>
    <t>GERARDO IVAN MARQUEZ SEPULVEDA</t>
  </si>
  <si>
    <t>3RO BMW NEGRO</t>
  </si>
  <si>
    <t>00000264964198</t>
  </si>
  <si>
    <t>20180625</t>
  </si>
  <si>
    <t>3G1TA5AF3EL168891</t>
  </si>
  <si>
    <t>0082512955</t>
  </si>
  <si>
    <t>ESTACIONADO ESTACIONADO ESTACIONADO</t>
  </si>
  <si>
    <t>DA.OS EN TODOS LOS CRISTALES Y CARROCERIA</t>
  </si>
  <si>
    <t>00000264964222</t>
  </si>
  <si>
    <t>20180124</t>
  </si>
  <si>
    <t>3G1TA5AFXEL170234</t>
  </si>
  <si>
    <t>0077947778</t>
  </si>
  <si>
    <t>DANIEL RODEA SANTOS</t>
  </si>
  <si>
    <t>3ERO GENERAL MOTORS ACADIA GRIS</t>
  </si>
  <si>
    <t>00000264964339</t>
  </si>
  <si>
    <t>20180206</t>
  </si>
  <si>
    <t>3G1TA5AF5FL144884</t>
  </si>
  <si>
    <t>0078331253</t>
  </si>
  <si>
    <t>EDGAR RIOS MONTA#O</t>
  </si>
  <si>
    <t>SI HAY 3RO MOTO</t>
  </si>
  <si>
    <t>00000264964396</t>
  </si>
  <si>
    <t>20180709</t>
  </si>
  <si>
    <t>AVEO "F" STD EE ABS A.AC. MP3 B/A 4P</t>
  </si>
  <si>
    <t>0082953068</t>
  </si>
  <si>
    <t>DANIEL ALEJANDRO VILLALOBOS CAMPOS</t>
  </si>
  <si>
    <t>3ROS EN LUGAR 4 VEHICULOS</t>
  </si>
  <si>
    <t>00000264964438</t>
  </si>
  <si>
    <t>20180808</t>
  </si>
  <si>
    <t>0083892885</t>
  </si>
  <si>
    <t>VALENTINO MOTA VILLA</t>
  </si>
  <si>
    <t>3RO CAMBRY GRIS</t>
  </si>
  <si>
    <t>00000264964453</t>
  </si>
  <si>
    <t>20180323</t>
  </si>
  <si>
    <t>0079730263</t>
  </si>
  <si>
    <t>ERICK SEBASTIAN ANTONIO</t>
  </si>
  <si>
    <t>NO HAY 3RO</t>
  </si>
  <si>
    <t>00000264964594</t>
  </si>
  <si>
    <t>20180305</t>
  </si>
  <si>
    <t>0079126629</t>
  </si>
  <si>
    <t>PARABRISAS PARA REPARACION</t>
  </si>
  <si>
    <t>00000264964602</t>
  </si>
  <si>
    <t>20180509</t>
  </si>
  <si>
    <t>0081042376</t>
  </si>
  <si>
    <t>CA.MBIO DE CRISTAL LATERAL TRASERO IZQUIERDO</t>
  </si>
  <si>
    <t>00000264964610</t>
  </si>
  <si>
    <t>20181203</t>
  </si>
  <si>
    <t>0087617601</t>
  </si>
  <si>
    <t>ANDRES GARDU#O GARCIA</t>
  </si>
  <si>
    <t>CL  CARAMBOLA // EN EL LUGAR</t>
  </si>
  <si>
    <t>00000264964628</t>
  </si>
  <si>
    <t>20180911</t>
  </si>
  <si>
    <t>0084951987</t>
  </si>
  <si>
    <t>JULIO ERNESTO MARTINEZ RAMOS</t>
  </si>
  <si>
    <t>EN EL LUGAR MITSUBUSHI GRIS</t>
  </si>
  <si>
    <t>00000264964636</t>
  </si>
  <si>
    <t>20180317</t>
  </si>
  <si>
    <t>0079551990</t>
  </si>
  <si>
    <t>FRANCISCO JAVIER SAMPAYO HERNANDEZ</t>
  </si>
  <si>
    <t>3RO ATTITUDE NEGRO</t>
  </si>
  <si>
    <t>00000264964677</t>
  </si>
  <si>
    <t>20181012</t>
  </si>
  <si>
    <t>0085985935</t>
  </si>
  <si>
    <t>EDUARDO VARGAS RIVAS</t>
  </si>
  <si>
    <t>3RO.EN EL LUGAR</t>
  </si>
  <si>
    <t>00000264964693</t>
  </si>
  <si>
    <t>20180417</t>
  </si>
  <si>
    <t>0080421183</t>
  </si>
  <si>
    <t>3RO NISSAN SENTRA COLOR GRIS</t>
  </si>
  <si>
    <t>00000264964719</t>
  </si>
  <si>
    <t>20180319</t>
  </si>
  <si>
    <t>0079578357</t>
  </si>
  <si>
    <t>MARCO ANTONIO FLORES BAEZ</t>
  </si>
  <si>
    <t>VS UN BACHE</t>
  </si>
  <si>
    <t>20180604</t>
  </si>
  <si>
    <t>0081847287</t>
  </si>
  <si>
    <t>3RO   CAMIONETA JEEP PATRIOT GRIS</t>
  </si>
  <si>
    <t>20180823</t>
  </si>
  <si>
    <t>0084374776</t>
  </si>
  <si>
    <t>3RO FIESTA AZUL</t>
  </si>
  <si>
    <t>00000264964727</t>
  </si>
  <si>
    <t>20181211</t>
  </si>
  <si>
    <t>0087898417</t>
  </si>
  <si>
    <t>OSCAR MEZA ALVAREZ</t>
  </si>
  <si>
    <t>IKON VINO EN EL LUGAR</t>
  </si>
  <si>
    <t>00000264964735</t>
  </si>
  <si>
    <t>20181120</t>
  </si>
  <si>
    <t>0087208393</t>
  </si>
  <si>
    <t>ROBERTO CARLOS FUENTES RODRIGUEZ</t>
  </si>
  <si>
    <t>3RO CHEVY</t>
  </si>
  <si>
    <t>00000264964768</t>
  </si>
  <si>
    <t>20180129</t>
  </si>
  <si>
    <t>0078108172</t>
  </si>
  <si>
    <t>3RO NO AHY  DA.OS POR BACHE</t>
  </si>
  <si>
    <t>20180726</t>
  </si>
  <si>
    <t>0083499269</t>
  </si>
  <si>
    <t>COLISION CON BACHE</t>
  </si>
  <si>
    <t>00000264964784</t>
  </si>
  <si>
    <t>20180328</t>
  </si>
  <si>
    <t>0079867271</t>
  </si>
  <si>
    <t>20180928</t>
  </si>
  <si>
    <t>0085521458</t>
  </si>
  <si>
    <t>JUAN CARLOS SOLIS DOMINGUEZ</t>
  </si>
  <si>
    <t>3RO GRIS</t>
  </si>
  <si>
    <t>20181214</t>
  </si>
  <si>
    <t>0088011804</t>
  </si>
  <si>
    <t>12 DE 12 DE 2018</t>
  </si>
  <si>
    <t>00000264964792</t>
  </si>
  <si>
    <t>20180907</t>
  </si>
  <si>
    <t>0084843572</t>
  </si>
  <si>
    <t>JORGE ARMANDO RAMIREZ VALLES</t>
  </si>
  <si>
    <t>INUNDACION</t>
  </si>
  <si>
    <t>00000264964826</t>
  </si>
  <si>
    <t>20180515</t>
  </si>
  <si>
    <t>0081248221</t>
  </si>
  <si>
    <t>HAY 3RO . AUTOBUS COLOR BLANCO CON AZUL</t>
  </si>
  <si>
    <t>20181212</t>
  </si>
  <si>
    <t>0087943494</t>
  </si>
  <si>
    <t>EASYGLASS CR PARABRISAS</t>
  </si>
  <si>
    <t>00000264964909</t>
  </si>
  <si>
    <t>20180820</t>
  </si>
  <si>
    <t>0084232958</t>
  </si>
  <si>
    <t>DANIELA MARTINEZ TELLO</t>
  </si>
  <si>
    <t>3RO CAMIONETA CRETA</t>
  </si>
  <si>
    <t>00000264964917</t>
  </si>
  <si>
    <t>20180304</t>
  </si>
  <si>
    <t>0079115358</t>
  </si>
  <si>
    <t>ARMANDO MU#OS GARCIA</t>
  </si>
  <si>
    <t>20181220</t>
  </si>
  <si>
    <t>0088227152</t>
  </si>
  <si>
    <t>MARIA ZOE LARA ESPINOSA</t>
  </si>
  <si>
    <t>3RO TRANSIT BLANCA</t>
  </si>
  <si>
    <t>00000264964933</t>
  </si>
  <si>
    <t>20180221</t>
  </si>
  <si>
    <t>0078975695</t>
  </si>
  <si>
    <t>3RO NO AHY</t>
  </si>
  <si>
    <t>0079856803</t>
  </si>
  <si>
    <t>3RO SI HAY CAMIONETA ROJA</t>
  </si>
  <si>
    <t>20180813</t>
  </si>
  <si>
    <t>0084017375</t>
  </si>
  <si>
    <t>3RO MUZTANG NEGRO</t>
  </si>
  <si>
    <t>00000264965005</t>
  </si>
  <si>
    <t>20181016</t>
  </si>
  <si>
    <t>0086107885</t>
  </si>
  <si>
    <t>3RO AVEO PLATA</t>
  </si>
  <si>
    <t>00000264965088</t>
  </si>
  <si>
    <t>0082965161</t>
  </si>
  <si>
    <t>JOEL ANTONIO CAZARES SANCHEZ</t>
  </si>
  <si>
    <t>3RO CAMIONETA VAN AZUL</t>
  </si>
  <si>
    <t>00000264965096</t>
  </si>
  <si>
    <t>20181217</t>
  </si>
  <si>
    <t>0088077961</t>
  </si>
  <si>
    <t>EDUARDO ALEXANDER VILLASANA VILLASANA</t>
  </si>
  <si>
    <t>3ERO TAXI VERDE</t>
  </si>
  <si>
    <t>00000264965104</t>
  </si>
  <si>
    <t>20181022</t>
  </si>
  <si>
    <t>0086290996</t>
  </si>
  <si>
    <t>ISRAEL MACIAS AYALA</t>
  </si>
  <si>
    <t>VS AVEO COLOR GRIS</t>
  </si>
  <si>
    <t>00000264965120</t>
  </si>
  <si>
    <t>20180116</t>
  </si>
  <si>
    <t>0078983764</t>
  </si>
  <si>
    <t>VS CHEVROLET TORNADO COLOR BLANCO AJUSTADOR 5602.VICTOR DANIEL OLMEDO VA AL LUGAR</t>
  </si>
  <si>
    <t>20181112</t>
  </si>
  <si>
    <t>0086943685</t>
  </si>
  <si>
    <t>OMAR FELIPE CORTES RAYA</t>
  </si>
  <si>
    <t>3RO CHRISLER // ARENA // EN EL LUGAR</t>
  </si>
  <si>
    <t>00000264965187</t>
  </si>
  <si>
    <t>20180628</t>
  </si>
  <si>
    <t>0082649641</t>
  </si>
  <si>
    <t>JOSE MIGUEL MORFIN GONZALEZ</t>
  </si>
  <si>
    <t>HAY 3RO TAXI</t>
  </si>
  <si>
    <t>00000264965195</t>
  </si>
  <si>
    <t>20180518</t>
  </si>
  <si>
    <t>0081357113</t>
  </si>
  <si>
    <t>VICTOR PARDO MUNIZ</t>
  </si>
  <si>
    <t>SI HAY 3EOR MARCH COLOR</t>
  </si>
  <si>
    <t>00000264965203</t>
  </si>
  <si>
    <t>0079741252</t>
  </si>
  <si>
    <t>GUILLERMO VALLEJO JARDON</t>
  </si>
  <si>
    <t>3ERO TAXI NISSAN TSURU</t>
  </si>
  <si>
    <t>00000264965229</t>
  </si>
  <si>
    <t>20180131</t>
  </si>
  <si>
    <t>0078285343</t>
  </si>
  <si>
    <t>NO ERO REQ AJUSTADOR</t>
  </si>
  <si>
    <t>00000264965237</t>
  </si>
  <si>
    <t>20180105</t>
  </si>
  <si>
    <t>0078030830</t>
  </si>
  <si>
    <t>DANO DE CRISTAL  LATERAL</t>
  </si>
  <si>
    <t>0078309010</t>
  </si>
  <si>
    <t>VICTOR MARTINEZ AGUILAR</t>
  </si>
  <si>
    <t>3ERO MERCEDES BENZ SE VA 3ERO DEL QUE ESTABA ATENDIENDO REPORTA AJUSTADOR</t>
  </si>
  <si>
    <t>00000264965278</t>
  </si>
  <si>
    <t>20181107</t>
  </si>
  <si>
    <t>0086799129</t>
  </si>
  <si>
    <t>CRISTAL PARABRISAS</t>
  </si>
  <si>
    <t>00000264965294</t>
  </si>
  <si>
    <t>20180106</t>
  </si>
  <si>
    <t>0077975670</t>
  </si>
  <si>
    <t>SI HAY 3RO MAZDA 3 ROJO</t>
  </si>
  <si>
    <t>20180115</t>
  </si>
  <si>
    <t>0079573663</t>
  </si>
  <si>
    <t>Y EL AJ DIEGO PEDRAZA 595 YA SE ENCUENTRA EN EL LUGAR  NA POL CARTA COBERTURA GNP ARRENDAMIENTO</t>
  </si>
  <si>
    <t>20181021</t>
  </si>
  <si>
    <t>0086272424</t>
  </si>
  <si>
    <t>A MENOR</t>
  </si>
  <si>
    <t>00000264965310</t>
  </si>
  <si>
    <t>20181018</t>
  </si>
  <si>
    <t>0086188638</t>
  </si>
  <si>
    <t>ERIK RICARDO NEDINOS CIFUENTES</t>
  </si>
  <si>
    <t>3RO CAMIËN LALA BLANCO</t>
  </si>
  <si>
    <t>00000264965328</t>
  </si>
  <si>
    <t>20180326</t>
  </si>
  <si>
    <t>0079791695</t>
  </si>
  <si>
    <t>SANTOS ERNESTO RODRIGUEZ FLORES</t>
  </si>
  <si>
    <t>VS BACHE</t>
  </si>
  <si>
    <t>20180407</t>
  </si>
  <si>
    <t>0080100175</t>
  </si>
  <si>
    <t>HOYOS. DA.O AL VEHICULO</t>
  </si>
  <si>
    <t>20180612</t>
  </si>
  <si>
    <t>0082136714</t>
  </si>
  <si>
    <t>VS SPARK COLOR AZUL</t>
  </si>
  <si>
    <t>00000264965336</t>
  </si>
  <si>
    <t>20180430</t>
  </si>
  <si>
    <t>0080776412</t>
  </si>
  <si>
    <t>JOSE LUIS VAZQUEZ JUAREZ</t>
  </si>
  <si>
    <t>CAYO A VACHE TRAMO CARRETERO</t>
  </si>
  <si>
    <t>20180807</t>
  </si>
  <si>
    <t>0083845396</t>
  </si>
  <si>
    <t>NISSAN ESTAQUITAS</t>
  </si>
  <si>
    <t>00000264965344</t>
  </si>
  <si>
    <t>20180125</t>
  </si>
  <si>
    <t>0078000759</t>
  </si>
  <si>
    <t>ROBERTO MENDEZ TORRES</t>
  </si>
  <si>
    <t>VH BLANCO</t>
  </si>
  <si>
    <t>00000264965419</t>
  </si>
  <si>
    <t>20180109</t>
  </si>
  <si>
    <t>0077925204</t>
  </si>
  <si>
    <t>SI HAY 3RO</t>
  </si>
  <si>
    <t>00000264965427</t>
  </si>
  <si>
    <t>20180117</t>
  </si>
  <si>
    <t>0077925253</t>
  </si>
  <si>
    <t>3RO EN LUGAR. NEON GRIS</t>
  </si>
  <si>
    <t>00000264965450</t>
  </si>
  <si>
    <t>20180910</t>
  </si>
  <si>
    <t>0084897990</t>
  </si>
  <si>
    <t>00000264965518</t>
  </si>
  <si>
    <t>20180424</t>
  </si>
  <si>
    <t>0080606429</t>
  </si>
  <si>
    <t>NA SOLICITA GRUA</t>
  </si>
  <si>
    <t>00000264965534</t>
  </si>
  <si>
    <t>0086811643</t>
  </si>
  <si>
    <t>DANTE BONILLA RIVERA</t>
  </si>
  <si>
    <t>3RO POINTER</t>
  </si>
  <si>
    <t>00000264965559</t>
  </si>
  <si>
    <t>20180718</t>
  </si>
  <si>
    <t>0083234088</t>
  </si>
  <si>
    <t>00000264965583</t>
  </si>
  <si>
    <t>20181005</t>
  </si>
  <si>
    <t>0085749976</t>
  </si>
  <si>
    <t>JOSE LUIS GONZALEZ ARCIGA</t>
  </si>
  <si>
    <t>SI HAY3RO JEEP BLANCO</t>
  </si>
  <si>
    <t>20181204</t>
  </si>
  <si>
    <t>0087656609</t>
  </si>
  <si>
    <t>BEATRIZ PADILLA RAMIREZ</t>
  </si>
  <si>
    <t>3ERO FORD FIESTA GRIS</t>
  </si>
  <si>
    <t>00000264965666</t>
  </si>
  <si>
    <t>20180413</t>
  </si>
  <si>
    <t>00000264755588</t>
  </si>
  <si>
    <t>CHEVROLET EXPRESS CARGO VAN "B"</t>
  </si>
  <si>
    <t>0080288103</t>
  </si>
  <si>
    <t>JOSE FRANCISCO PINEDA ORNELAS</t>
  </si>
  <si>
    <t>SIN DATOS DE QUIEN REPORTA</t>
  </si>
  <si>
    <t>00000264965674</t>
  </si>
  <si>
    <t>0081997421</t>
  </si>
  <si>
    <t>RELACION CON SINIESTRO 0080288103 A PETICION DE Miguel Francisco Rodriguez Cervera</t>
  </si>
  <si>
    <t>00000264965682</t>
  </si>
  <si>
    <t>20180926</t>
  </si>
  <si>
    <t>WB10B0400GZ297455</t>
  </si>
  <si>
    <t>00000264756040</t>
  </si>
  <si>
    <t>HONDA</t>
  </si>
  <si>
    <t>0085444529</t>
  </si>
  <si>
    <t>CARLOS JONATHAN VIEYRA SOTO</t>
  </si>
  <si>
    <t>SI 3ERO FORD ESCAPE COLOR ROJA</t>
  </si>
  <si>
    <t>20181123</t>
  </si>
  <si>
    <t>0087334975</t>
  </si>
  <si>
    <t>CARLOS JONATHAN VIERA SOTO</t>
  </si>
  <si>
    <t>VENTO NEGRO</t>
  </si>
  <si>
    <t>00000264965690</t>
  </si>
  <si>
    <t>20180525</t>
  </si>
  <si>
    <t>WB10B0403GZ297496</t>
  </si>
  <si>
    <t>0081569279</t>
  </si>
  <si>
    <t>DELWIN MORENO GARCIA</t>
  </si>
  <si>
    <t>3ERO URBAN DE PASAJEROS</t>
  </si>
  <si>
    <t>20180710</t>
  </si>
  <si>
    <t>0082994963</t>
  </si>
  <si>
    <t>CAE BACHE</t>
  </si>
  <si>
    <t>00000264965708</t>
  </si>
  <si>
    <t>20180412</t>
  </si>
  <si>
    <t>WB10B0401GZ297495</t>
  </si>
  <si>
    <t>0080280647</t>
  </si>
  <si>
    <t>DIEGO MAURICIO PEDRAZA JAIMES</t>
  </si>
  <si>
    <t>SE LA ROBAN AL AJUSTADOR 595</t>
  </si>
  <si>
    <t>00000264965716</t>
  </si>
  <si>
    <t>20180622</t>
  </si>
  <si>
    <t>WB10B0400GZ296998</t>
  </si>
  <si>
    <t>0082452269</t>
  </si>
  <si>
    <t>DAVID TADEO HERRERA GONZALEZ</t>
  </si>
  <si>
    <t>3 ERO  CHEVROLET   CRUZE   COLOR   BLANCO</t>
  </si>
  <si>
    <t>00000264965732</t>
  </si>
  <si>
    <t>WB10B040XGZ297785</t>
  </si>
  <si>
    <t>0080627276</t>
  </si>
  <si>
    <t>JORGE ALBERTO CARRETO SOSA</t>
  </si>
  <si>
    <t>3ERO AVEO COLOR BLANCO</t>
  </si>
  <si>
    <t>0083478982</t>
  </si>
  <si>
    <t>VS AVEO ROJO</t>
  </si>
  <si>
    <t>00000264965781</t>
  </si>
  <si>
    <t>20180216</t>
  </si>
  <si>
    <t>0079633459</t>
  </si>
  <si>
    <t>IMPACTA PIEDRA EN EL PARABRISAS</t>
  </si>
  <si>
    <t>00000264965799</t>
  </si>
  <si>
    <t>20180606</t>
  </si>
  <si>
    <t>0081947657</t>
  </si>
  <si>
    <t>GUSTAVO ARNOLDO IZABAL LOPEZ</t>
  </si>
  <si>
    <t>3RO CUATRI MOTO ROJO CON NEGRO</t>
  </si>
  <si>
    <t>00000264965815</t>
  </si>
  <si>
    <t>0083872416</t>
  </si>
  <si>
    <t>OMAR ALEJANDRO SALVADOR MONDRAGON</t>
  </si>
  <si>
    <t>SI HAY TERCERO FORD RANGER BLANCA</t>
  </si>
  <si>
    <t>00000264965880</t>
  </si>
  <si>
    <t>20180201</t>
  </si>
  <si>
    <t>WB10B0401GZ298730</t>
  </si>
  <si>
    <t>0078187416</t>
  </si>
  <si>
    <t>FERNANDO SILVA MENDEZ</t>
  </si>
  <si>
    <t>3RO EN LUGAR VH NEGRO</t>
  </si>
  <si>
    <t>20180921</t>
  </si>
  <si>
    <t>0085308906</t>
  </si>
  <si>
    <t>LUIS FERNANDO SILVA SD</t>
  </si>
  <si>
    <t>NA LESIONADO</t>
  </si>
  <si>
    <t>00000264965906</t>
  </si>
  <si>
    <t>20180806</t>
  </si>
  <si>
    <t>WB10B0409GZ298541</t>
  </si>
  <si>
    <t>0083797134</t>
  </si>
  <si>
    <t>ROBERTO ALVAREZ SANCHEZ</t>
  </si>
  <si>
    <t>VS CMAIONETA</t>
  </si>
  <si>
    <t>00000264965914</t>
  </si>
  <si>
    <t>20180409</t>
  </si>
  <si>
    <t>WB10B0409GZ298586</t>
  </si>
  <si>
    <t>0080165152</t>
  </si>
  <si>
    <t>ERIBERTO GARCIA DOMINGUEZ</t>
  </si>
  <si>
    <t>3RO EN FUGA</t>
  </si>
  <si>
    <t>00000264965922</t>
  </si>
  <si>
    <t>0086004660</t>
  </si>
  <si>
    <t>LIZANDO ARREDONDO MORALES</t>
  </si>
  <si>
    <t>3RO HONDA NEGRO</t>
  </si>
  <si>
    <t>00000264965930</t>
  </si>
  <si>
    <t>20180301</t>
  </si>
  <si>
    <t>0079026167</t>
  </si>
  <si>
    <t>CRISTAL PARABRISAS AJUSTE 2.0</t>
  </si>
  <si>
    <t>20180307</t>
  </si>
  <si>
    <t>0079216248</t>
  </si>
  <si>
    <t>00000264965955</t>
  </si>
  <si>
    <t>20180213</t>
  </si>
  <si>
    <t>3G1TB5CF1HL122605</t>
  </si>
  <si>
    <t>0078527330</t>
  </si>
  <si>
    <t>ANGEL EDUARDO CANO MORENO</t>
  </si>
  <si>
    <t>3RO VERSA BLANCO</t>
  </si>
  <si>
    <t>20180321</t>
  </si>
  <si>
    <t>0079640728</t>
  </si>
  <si>
    <t>ERIKA RUBIOLUGO ORTIZ</t>
  </si>
  <si>
    <t>NO HAY 3RO VUELCA</t>
  </si>
  <si>
    <t>00000264965989</t>
  </si>
  <si>
    <t>20180904</t>
  </si>
  <si>
    <t>0084717560</t>
  </si>
  <si>
    <t>CHRISTIAN AGUIRRE MIRANDA</t>
  </si>
  <si>
    <t>3RO SPARK ROJO</t>
  </si>
  <si>
    <t>00000264965997</t>
  </si>
  <si>
    <t>20180429</t>
  </si>
  <si>
    <t>0080773542</t>
  </si>
  <si>
    <t>3RO EN EL LUGAR NISSAN SENTRA</t>
  </si>
  <si>
    <t>20181126</t>
  </si>
  <si>
    <t>0087387981</t>
  </si>
  <si>
    <t>MARCOA ANTONIO CERVANTES GUIZAR</t>
  </si>
  <si>
    <t>3RO CHEVROLET ROJO</t>
  </si>
  <si>
    <t>00000264966011</t>
  </si>
  <si>
    <t>20180227</t>
  </si>
  <si>
    <t>0078979499</t>
  </si>
  <si>
    <t>3RO EN EL LUGAR VOLKSWAGEN JETTA BLANCO</t>
  </si>
  <si>
    <t>20180610</t>
  </si>
  <si>
    <t>0082060575</t>
  </si>
  <si>
    <t>3RO VENTO CAFE</t>
  </si>
  <si>
    <t>00000264966037</t>
  </si>
  <si>
    <t>0079625844</t>
  </si>
  <si>
    <t>CRISTIAN ROBERTO ORTIZ NOLASCO</t>
  </si>
  <si>
    <t>3RO MATIZ AZUL</t>
  </si>
  <si>
    <t>20180215</t>
  </si>
  <si>
    <t>0081853004</t>
  </si>
  <si>
    <t>SI HAY 3RO MITSUBISHI MIRAGE BLANCO</t>
  </si>
  <si>
    <t>00000264966078</t>
  </si>
  <si>
    <t>20180706</t>
  </si>
  <si>
    <t>0082876301</t>
  </si>
  <si>
    <t>LUIS BRAYAN JUAREZ GAMEZ</t>
  </si>
  <si>
    <t>3ERO VW VENTO GRIS</t>
  </si>
  <si>
    <t>00000264966102</t>
  </si>
  <si>
    <t>0079227039</t>
  </si>
  <si>
    <t>3RO CAMION URBANO</t>
  </si>
  <si>
    <t>0086167145</t>
  </si>
  <si>
    <t>3RO FORD VAN ECONOLINE BLANCA</t>
  </si>
  <si>
    <t>00000264966110</t>
  </si>
  <si>
    <t>20181108</t>
  </si>
  <si>
    <t>0086843083</t>
  </si>
  <si>
    <t>3RO NISSAN KICK GRIS</t>
  </si>
  <si>
    <t>20181215</t>
  </si>
  <si>
    <t>0088038849</t>
  </si>
  <si>
    <t>SI HAY TERCERO RENAULT CLIO NEGRO</t>
  </si>
  <si>
    <t>00000264966136</t>
  </si>
  <si>
    <t>20180905</t>
  </si>
  <si>
    <t>0084757491</t>
  </si>
  <si>
    <t>JOEL GUADALUPE MIRANDA HERNANDEZ</t>
  </si>
  <si>
    <t>3RO HONDA CRV ROJO</t>
  </si>
  <si>
    <t>20181113</t>
  </si>
  <si>
    <t>0087006565</t>
  </si>
  <si>
    <t>SI HAY 3ER TIGUAN 2018 BLANCA</t>
  </si>
  <si>
    <t>00000264966169</t>
  </si>
  <si>
    <t>20180320</t>
  </si>
  <si>
    <t>0079615779</t>
  </si>
  <si>
    <t>AMELIA LEAL MATEOS</t>
  </si>
  <si>
    <t>3RO AUDI GRIS</t>
  </si>
  <si>
    <t>0080779846</t>
  </si>
  <si>
    <t>PEATONES</t>
  </si>
  <si>
    <t>00000264966235</t>
  </si>
  <si>
    <t>20181031</t>
  </si>
  <si>
    <t>0086592581</t>
  </si>
  <si>
    <t>SI HAY TERCERO HONDA ACORD</t>
  </si>
  <si>
    <t>00000264966292</t>
  </si>
  <si>
    <t>20180804</t>
  </si>
  <si>
    <t>0083775197</t>
  </si>
  <si>
    <t>OSCAR SILVA MENDOZA</t>
  </si>
  <si>
    <t>3RO DODGE JOURNEY GRIS</t>
  </si>
  <si>
    <t>20181231</t>
  </si>
  <si>
    <t>0088501119</t>
  </si>
  <si>
    <t>3RO RANGER ROJO</t>
  </si>
  <si>
    <t>00000264966300</t>
  </si>
  <si>
    <t>20180103</t>
  </si>
  <si>
    <t>0077944502</t>
  </si>
  <si>
    <t>00000264966342</t>
  </si>
  <si>
    <t>0084926955</t>
  </si>
  <si>
    <t>OMAR HERNANDEZ VAZQUEZ</t>
  </si>
  <si>
    <t>COLISIONA CON BACHE</t>
  </si>
  <si>
    <t>00000264966409</t>
  </si>
  <si>
    <t>3G1TB5CF8HL126277</t>
  </si>
  <si>
    <t>0079221768</t>
  </si>
  <si>
    <t>20180517</t>
  </si>
  <si>
    <t>0081312514</t>
  </si>
  <si>
    <t>3RO TAXI TSURU BLANCO</t>
  </si>
  <si>
    <t>00000264966433</t>
  </si>
  <si>
    <t>0082941121</t>
  </si>
  <si>
    <t>VICTOR HUGO BARRERA AREVALO</t>
  </si>
  <si>
    <t>3RO SI VH FORD PICK UP</t>
  </si>
  <si>
    <t>00000264966458</t>
  </si>
  <si>
    <t>20180112</t>
  </si>
  <si>
    <t>0078141454</t>
  </si>
  <si>
    <t>NA COL CON OBJETOS</t>
  </si>
  <si>
    <t>00000264966482</t>
  </si>
  <si>
    <t>20180626</t>
  </si>
  <si>
    <t>0082589557</t>
  </si>
  <si>
    <t>ALEJANDRA VIVIANA JUAREZ FRASQUILLO</t>
  </si>
  <si>
    <t>3 ERO VH FORD COLOR GRIS</t>
  </si>
  <si>
    <t>00000264966524</t>
  </si>
  <si>
    <t>20180819</t>
  </si>
  <si>
    <t>0084224575</t>
  </si>
  <si>
    <t>3RO TSURU</t>
  </si>
  <si>
    <t>00000264966565</t>
  </si>
  <si>
    <t>20180527</t>
  </si>
  <si>
    <t>0081604985</t>
  </si>
  <si>
    <t>RICARDO DURAN RAMIREZ</t>
  </si>
  <si>
    <t>3RO SPARK CAFE</t>
  </si>
  <si>
    <t>20180630</t>
  </si>
  <si>
    <t>0082714213</t>
  </si>
  <si>
    <t>JOSE RICARDO DURAN RAMIREZ</t>
  </si>
  <si>
    <t>FORD FIESTA TAXI BLANCO</t>
  </si>
  <si>
    <t>00000264966607</t>
  </si>
  <si>
    <t>20181130</t>
  </si>
  <si>
    <t>0087571154</t>
  </si>
  <si>
    <t>JUAN CARLOS RIVERA SANCHEZ</t>
  </si>
  <si>
    <t>3RO FORD VINO</t>
  </si>
  <si>
    <t>00000264966615</t>
  </si>
  <si>
    <t>0077925345</t>
  </si>
  <si>
    <t>IMPACTA CON RANGER Y EL AJ JACOBO IZA 0704 YA ESTA EN EL LUGAR POL  00000239947005</t>
  </si>
  <si>
    <t>20181004</t>
  </si>
  <si>
    <t>0085705911</t>
  </si>
  <si>
    <t>ENRIQUE CHAVEZ FABILA</t>
  </si>
  <si>
    <t>SI HAY TERCDRO TAXI ATOS AMARILLO</t>
  </si>
  <si>
    <t>00000264966755</t>
  </si>
  <si>
    <t>0084231414</t>
  </si>
  <si>
    <t>AJUSTA 1235 LO CHOCAN HOND ACORD</t>
  </si>
  <si>
    <t>00000264966763</t>
  </si>
  <si>
    <t>0084754795</t>
  </si>
  <si>
    <t>FELIX MANUEL MARQUEZ NORIEGA</t>
  </si>
  <si>
    <t>3RO NISSAN BLANCA</t>
  </si>
  <si>
    <t>00000264966789</t>
  </si>
  <si>
    <t>0078189412</t>
  </si>
  <si>
    <t>RUBEN PARRA JIMENEZ</t>
  </si>
  <si>
    <t>CHEVY AZUL NA DICE QUE LE ASIGNARON A AJ HUMBERTO VALENCIA 597</t>
  </si>
  <si>
    <t>20181014</t>
  </si>
  <si>
    <t>0086037728</t>
  </si>
  <si>
    <t>RUBEN  DARIO PARRA JIMENEZ</t>
  </si>
  <si>
    <t>SI 3ERO NISSAN VERSA AZUL</t>
  </si>
  <si>
    <t>00000264966797</t>
  </si>
  <si>
    <t>20180313</t>
  </si>
  <si>
    <t>0079409793</t>
  </si>
  <si>
    <t>MANUEL ANTONIO RAMOS RAMIREZ</t>
  </si>
  <si>
    <t>00000264966805</t>
  </si>
  <si>
    <t>0087570305</t>
  </si>
  <si>
    <t>3RO BMW GRIS</t>
  </si>
  <si>
    <t>00000264966839</t>
  </si>
  <si>
    <t>20180516</t>
  </si>
  <si>
    <t>0081272221</t>
  </si>
  <si>
    <t>NO 3ERO OBJETO EN LA PISTA</t>
  </si>
  <si>
    <t>0086792322</t>
  </si>
  <si>
    <t>OMAR PICHARDO ROSALES</t>
  </si>
  <si>
    <t>3RO ISUZU BLANCO CHASIS 2013</t>
  </si>
  <si>
    <t>20181210</t>
  </si>
  <si>
    <t>0087853644</t>
  </si>
  <si>
    <t>3RO YA NO ESTA TIENE ORDEN DE ABBA C6990 JORGE JOEL PEREZ AJUSTADOR EN EL LUGAR</t>
  </si>
  <si>
    <t>00000264966896</t>
  </si>
  <si>
    <t>20180209</t>
  </si>
  <si>
    <t>0078432663</t>
  </si>
  <si>
    <t>JORGE GUTIERREZ GARCIA</t>
  </si>
  <si>
    <t>3RO SI HAY WINDSTAR</t>
  </si>
  <si>
    <t>0085776128</t>
  </si>
  <si>
    <t>JORGE SCARI GUTIERREZ GARCIA</t>
  </si>
  <si>
    <t>3RO CICLISTA</t>
  </si>
  <si>
    <t>00000264966912</t>
  </si>
  <si>
    <t>20180530</t>
  </si>
  <si>
    <t>0081715831</t>
  </si>
  <si>
    <t>EDGAR FRANCISCO RUBIO HAM</t>
  </si>
  <si>
    <t>3RO FRIGLINER BLANCO</t>
  </si>
  <si>
    <t>00000264966961</t>
  </si>
  <si>
    <t>0081281958</t>
  </si>
  <si>
    <t>3RO SPARCK NEGRO</t>
  </si>
  <si>
    <t>00000264966987</t>
  </si>
  <si>
    <t>20180207</t>
  </si>
  <si>
    <t>0078363462</t>
  </si>
  <si>
    <t>VICTOR HUGO MORALES CASTA#EDA</t>
  </si>
  <si>
    <t>SI HAY 3RO TAXI VERSA</t>
  </si>
  <si>
    <t>00000264967076</t>
  </si>
  <si>
    <t>0081797896</t>
  </si>
  <si>
    <t>CARLOS MANUEL MAEDA CERVANTES</t>
  </si>
  <si>
    <t>3RO SI EN EL LUGAR</t>
  </si>
  <si>
    <t>00000264967134</t>
  </si>
  <si>
    <t>0077971364</t>
  </si>
  <si>
    <t>SI HAY 3ERO NISSAN VERSA AZUL</t>
  </si>
  <si>
    <t>20180821</t>
  </si>
  <si>
    <t>0084285535</t>
  </si>
  <si>
    <t>3ERO ATTITUDE GRIS AJUSTADOR GERARDO MATA 1212</t>
  </si>
  <si>
    <t>20181114</t>
  </si>
  <si>
    <t>0087026324</t>
  </si>
  <si>
    <t>3RO MINI COOPER GRIS</t>
  </si>
  <si>
    <t>00000264967159</t>
  </si>
  <si>
    <t>20180810</t>
  </si>
  <si>
    <t>0083939017</t>
  </si>
  <si>
    <t>ALONSO GARCIA TALAMANTES</t>
  </si>
  <si>
    <t>SI HAY TERCERO. CHEVROLET CHEVY GUINDA. EL AFECTADO ES UN COMPA.ERO DE GNP</t>
  </si>
  <si>
    <t>00000264967209</t>
  </si>
  <si>
    <t>20180224</t>
  </si>
  <si>
    <t>0081854259</t>
  </si>
  <si>
    <t>SI HAY 3RO TOYOTA COLOR GRIS</t>
  </si>
  <si>
    <t>00000264967217</t>
  </si>
  <si>
    <t>20181121</t>
  </si>
  <si>
    <t>0087248431</t>
  </si>
  <si>
    <t>VICTOR CRUZ BARRERA</t>
  </si>
  <si>
    <t>3RO CAMIONETA NISSAN XTRAIL</t>
  </si>
  <si>
    <t>00000264967225</t>
  </si>
  <si>
    <t>20180425</t>
  </si>
  <si>
    <t>0080639396</t>
  </si>
  <si>
    <t>LUIS ROBERTO NAVA MORENO</t>
  </si>
  <si>
    <t>SI 3ERO SUZUKY NEGRO</t>
  </si>
  <si>
    <t>00000264967258</t>
  </si>
  <si>
    <t>20181128</t>
  </si>
  <si>
    <t>0087465092</t>
  </si>
  <si>
    <t>LUIS ANTONIO CASTILLO ALVARADO</t>
  </si>
  <si>
    <t>3RO BMW BLANCO</t>
  </si>
  <si>
    <t>00000264967266</t>
  </si>
  <si>
    <t>20181024</t>
  </si>
  <si>
    <t>0086381969</t>
  </si>
  <si>
    <t>JAVIER CASTORENA CASTRO</t>
  </si>
  <si>
    <t>3RO SEAT</t>
  </si>
  <si>
    <t>00000264967282</t>
  </si>
  <si>
    <t>3G1TB5CF9HL164682</t>
  </si>
  <si>
    <t>0078963360</t>
  </si>
  <si>
    <t>.</t>
  </si>
  <si>
    <t>00000264967324</t>
  </si>
  <si>
    <t>20180309</t>
  </si>
  <si>
    <t>0079292017</t>
  </si>
  <si>
    <t>CESAR EDUARDO PEREZ SANCHEZ</t>
  </si>
  <si>
    <t>SI HAY 3RO JETTA COLOR ROJO</t>
  </si>
  <si>
    <t>00000264967332</t>
  </si>
  <si>
    <t>20180308</t>
  </si>
  <si>
    <t>0079239117</t>
  </si>
  <si>
    <t>SARA SANTILLANA RENTERIA</t>
  </si>
  <si>
    <t>SI HAY 3RO CAMIONETA EN 06</t>
  </si>
  <si>
    <t>20181202</t>
  </si>
  <si>
    <t>0087606893</t>
  </si>
  <si>
    <t>DARIO DE JESUS HERNANDEZ FABELA</t>
  </si>
  <si>
    <t>00000264967340</t>
  </si>
  <si>
    <t>20181101</t>
  </si>
  <si>
    <t>0086650363</t>
  </si>
  <si>
    <t>00000264967381</t>
  </si>
  <si>
    <t>20180922</t>
  </si>
  <si>
    <t>0085339430</t>
  </si>
  <si>
    <t>3RO CAMIONETA FORD GRIS</t>
  </si>
  <si>
    <t>00000264967415</t>
  </si>
  <si>
    <t>0077950160</t>
  </si>
  <si>
    <t>JHONATAN CARLOS GAMBOA BALLADO</t>
  </si>
  <si>
    <t>SI HAY TERCERO AUDI BLANCO</t>
  </si>
  <si>
    <t>20181008</t>
  </si>
  <si>
    <t>0085817625</t>
  </si>
  <si>
    <t>00000264967464</t>
  </si>
  <si>
    <t>20180927</t>
  </si>
  <si>
    <t>0085491918</t>
  </si>
  <si>
    <t>FRANK JONATHAN RODRIGUEZ OLVERA</t>
  </si>
  <si>
    <t>3RO NEGRO</t>
  </si>
  <si>
    <t>00000264967514</t>
  </si>
  <si>
    <t>0088192059</t>
  </si>
  <si>
    <t>CUTBERTO GABRIEL PEREZ ESTRADA</t>
  </si>
  <si>
    <t>NA IMPACTA A 3RO MOTO</t>
  </si>
  <si>
    <t>00000264967530</t>
  </si>
  <si>
    <t>20180523</t>
  </si>
  <si>
    <t>0081480824</t>
  </si>
  <si>
    <t>EDUARDO PEREZ MANZANERO</t>
  </si>
  <si>
    <t>SAVEIRO 05</t>
  </si>
  <si>
    <t>00000264967563</t>
  </si>
  <si>
    <t>20180226</t>
  </si>
  <si>
    <t>0079302287</t>
  </si>
  <si>
    <t>3RO AVEO COLOR BLANCO</t>
  </si>
  <si>
    <t>00000264967589</t>
  </si>
  <si>
    <t>0082949322</t>
  </si>
  <si>
    <t>ELIAS RAMIREZ OSNAYA</t>
  </si>
  <si>
    <t>NA VEHICULO CON GOLPE</t>
  </si>
  <si>
    <t>0085759272</t>
  </si>
  <si>
    <t>SUSANA MENDOZA BARRERA</t>
  </si>
  <si>
    <t>EN EL LUGAR TAXI BLANCO CON ROSA</t>
  </si>
  <si>
    <t>00000264967597</t>
  </si>
  <si>
    <t>0081939845</t>
  </si>
  <si>
    <t>MA TERESA CISNEROS RAMIREZ</t>
  </si>
  <si>
    <t>3RO TOYOTA RAV GRIS</t>
  </si>
  <si>
    <t>00000264967605</t>
  </si>
  <si>
    <t>0082881996</t>
  </si>
  <si>
    <t>MARTIN JIMENEZ REYES</t>
  </si>
  <si>
    <t>3RO EN LUGAR MARCH 02..AUTO UTILITARIO DE GNP</t>
  </si>
  <si>
    <t>00000264967639</t>
  </si>
  <si>
    <t>20180615</t>
  </si>
  <si>
    <t>0082659004</t>
  </si>
  <si>
    <t>ADRIANA ZALAVAL MADRIGAL</t>
  </si>
  <si>
    <t>3RO CAMIONETA VAN COLOR BLANCA</t>
  </si>
  <si>
    <t>20181105</t>
  </si>
  <si>
    <t>0086718053</t>
  </si>
  <si>
    <t>JUAN JOSE TORRES TOLENTINO</t>
  </si>
  <si>
    <t>3ERO TACOMA ROJO</t>
  </si>
  <si>
    <t>00000264967654</t>
  </si>
  <si>
    <t>0080173958</t>
  </si>
  <si>
    <t>BRNADON JAHZIEL MARTINEZ ORTIZ</t>
  </si>
  <si>
    <t>3ROPRSENTE</t>
  </si>
  <si>
    <t>00000264967696</t>
  </si>
  <si>
    <t>0084955277</t>
  </si>
  <si>
    <t>JOSE ISRAEL MARTINEZ HERNANDEZ</t>
  </si>
  <si>
    <t>SI HAY TERCERO VENTO BLANCO</t>
  </si>
  <si>
    <t>00000264967704</t>
  </si>
  <si>
    <t>0085287472</t>
  </si>
  <si>
    <t>ISRAEL ALEJANDRO REYES DOMINGUEZ</t>
  </si>
  <si>
    <t>3RO VENTO NEGRO</t>
  </si>
  <si>
    <t>00000264967712</t>
  </si>
  <si>
    <t>3G1TB5CF5HL164047</t>
  </si>
  <si>
    <t>0079564068</t>
  </si>
  <si>
    <t>TAXI TSURU</t>
  </si>
  <si>
    <t>0083813717</t>
  </si>
  <si>
    <t>3RO AVEO BLANCO</t>
  </si>
  <si>
    <t>00000264967746</t>
  </si>
  <si>
    <t>20180324</t>
  </si>
  <si>
    <t>0079756573</t>
  </si>
  <si>
    <t>SI HAY 3EOR AVE COLOR VINO</t>
  </si>
  <si>
    <t>00000264967811</t>
  </si>
  <si>
    <t>20180508</t>
  </si>
  <si>
    <t>0081041436</t>
  </si>
  <si>
    <t>3RO CAMIONETA FORD BLANCA</t>
  </si>
  <si>
    <t>00000264967829</t>
  </si>
  <si>
    <t>20180507</t>
  </si>
  <si>
    <t>0080978893</t>
  </si>
  <si>
    <t>3ERO SI POINTIAC</t>
  </si>
  <si>
    <t>00000264967837</t>
  </si>
  <si>
    <t>0085548386</t>
  </si>
  <si>
    <t>3ERO AUTOB┌S DE PASAJEROS MERDECES BENZ BLANCO CON AZUL PLACAS 717399G</t>
  </si>
  <si>
    <t>00000264967860</t>
  </si>
  <si>
    <t>0088017314</t>
  </si>
  <si>
    <t>SERGIO IVAN LONGORIA GUADIANA</t>
  </si>
  <si>
    <t>3ERO CHEVROLET F10</t>
  </si>
  <si>
    <t>00000264967878</t>
  </si>
  <si>
    <t>0081702300</t>
  </si>
  <si>
    <t>NA INDICA PERCANSE CON CAMELLON</t>
  </si>
  <si>
    <t>00000264967886</t>
  </si>
  <si>
    <t>0081043978</t>
  </si>
  <si>
    <t>3RO MAZDA ROJO</t>
  </si>
  <si>
    <t>00000264967902</t>
  </si>
  <si>
    <t>0086116886</t>
  </si>
  <si>
    <t>MARCELA DE LEON BALDERAS</t>
  </si>
  <si>
    <t>ASIGNAR AL AJ 5704 MANUEL AYALA</t>
  </si>
  <si>
    <t>00000264967951</t>
  </si>
  <si>
    <t>0081708497</t>
  </si>
  <si>
    <t>RODRIGO PEREZ OSOYO</t>
  </si>
  <si>
    <t>3RO VENTO ARENA</t>
  </si>
  <si>
    <t>20180614</t>
  </si>
  <si>
    <t>0082189333</t>
  </si>
  <si>
    <t>3RO MICROBUS BLANCO</t>
  </si>
  <si>
    <t>00000264967969</t>
  </si>
  <si>
    <t>3G1TB5CF6HL166566</t>
  </si>
  <si>
    <t>0077945681</t>
  </si>
  <si>
    <t>3ERO MAZDA TRIBUTE NEGRO.</t>
  </si>
  <si>
    <t>0079781027</t>
  </si>
  <si>
    <t>JOSE ALBERTO GUTIERREZ ATIENZO</t>
  </si>
  <si>
    <t>00000264967993</t>
  </si>
  <si>
    <t>20180220</t>
  </si>
  <si>
    <t>0078992070</t>
  </si>
  <si>
    <t>NA COLISIONA A TIIDA</t>
  </si>
  <si>
    <t>00000264968017</t>
  </si>
  <si>
    <t>20180118</t>
  </si>
  <si>
    <t>0078978285</t>
  </si>
  <si>
    <t>SI HAY 3ERO CRYSLER 300C COLOR AZUL</t>
  </si>
  <si>
    <t>00000264968041</t>
  </si>
  <si>
    <t>20180314</t>
  </si>
  <si>
    <t>0079451779</t>
  </si>
  <si>
    <t>LARRY CARLOS ESCALANTE SERRANO</t>
  </si>
  <si>
    <t>3ERO MOTOCILETA</t>
  </si>
  <si>
    <t>0080793912</t>
  </si>
  <si>
    <t>ACADIA DORADO</t>
  </si>
  <si>
    <t>00000264968066</t>
  </si>
  <si>
    <t>20180501</t>
  </si>
  <si>
    <t>0080816085</t>
  </si>
  <si>
    <t>SI HAY 3RO AUTO NEGRO</t>
  </si>
  <si>
    <t>00000264968108</t>
  </si>
  <si>
    <t>0086827938</t>
  </si>
  <si>
    <t>PEDRO FRANCISCO ORTU#O ROSALES</t>
  </si>
  <si>
    <t>3RO PLATINA CAFE</t>
  </si>
  <si>
    <t>00000264968116</t>
  </si>
  <si>
    <t>0084043041</t>
  </si>
  <si>
    <t>MARVIN ROJO ORTIZ</t>
  </si>
  <si>
    <t>3RO MASETERO</t>
  </si>
  <si>
    <t>00000264968140</t>
  </si>
  <si>
    <t>0082112319</t>
  </si>
  <si>
    <t>PARA CAMBIO DE SIPAC DE AXXA</t>
  </si>
  <si>
    <t>00000264968199</t>
  </si>
  <si>
    <t>0077967917</t>
  </si>
  <si>
    <t>HUMBERTO GARCIA CALDERON</t>
  </si>
  <si>
    <t>3RO CAMIONETA PICK UP</t>
  </si>
  <si>
    <t>00000264968215</t>
  </si>
  <si>
    <t>20180602</t>
  </si>
  <si>
    <t>0081818809</t>
  </si>
  <si>
    <t>RAMON VERDIN DELGADILLO ESTACIONADO ESTACIONADO</t>
  </si>
  <si>
    <t>LATERAL DERECHO TRASERO VH DE GNP</t>
  </si>
  <si>
    <t>00000264968256</t>
  </si>
  <si>
    <t>20180420</t>
  </si>
  <si>
    <t>0080509847</t>
  </si>
  <si>
    <t>SCHOEDERS ANTONIO GUTIERREZ ARELLANO</t>
  </si>
  <si>
    <t>00000264968264</t>
  </si>
  <si>
    <t>20180123</t>
  </si>
  <si>
    <t>00000264758509</t>
  </si>
  <si>
    <t>FORD F-350 SUPER DUTY XL</t>
  </si>
  <si>
    <t>0077916997</t>
  </si>
  <si>
    <t>RAUL CORONA GARCIA</t>
  </si>
  <si>
    <t>0086380334</t>
  </si>
  <si>
    <t>JUAN LUIS GUTIERREZ RUBIO</t>
  </si>
  <si>
    <t>CON DOMO</t>
  </si>
  <si>
    <t>00000264968280</t>
  </si>
  <si>
    <t>20180208</t>
  </si>
  <si>
    <t>0078401973</t>
  </si>
  <si>
    <t>RAUL CORONA X</t>
  </si>
  <si>
    <t>00000264968306</t>
  </si>
  <si>
    <t>20180703</t>
  </si>
  <si>
    <t>0082795964</t>
  </si>
  <si>
    <t>EN EL LUGAR MAZDA VINO</t>
  </si>
  <si>
    <t>00000264968322</t>
  </si>
  <si>
    <t>VALMEX SOLUCIONES FINANCIERAS, S.A. DE C.V., SOFOM</t>
  </si>
  <si>
    <t>00000264774621</t>
  </si>
  <si>
    <t>0081787640</t>
  </si>
  <si>
    <t>SI HAY 3RO MORADO PEUGEOT</t>
  </si>
  <si>
    <t>20181007</t>
  </si>
  <si>
    <t>0085805844</t>
  </si>
  <si>
    <t>EDGAR VAZQUEZ ESCARTIN</t>
  </si>
  <si>
    <t>VS REJA DEL HOSPITAL</t>
  </si>
  <si>
    <t>00000264968363</t>
  </si>
  <si>
    <t>NISSAN MARCH ACTIVE CARGO L4 1.6 ABS STD</t>
  </si>
  <si>
    <t>0078539111</t>
  </si>
  <si>
    <t>JUAN CARLOS HERNANDEZ LOPEZ</t>
  </si>
  <si>
    <t>3RO MICRO</t>
  </si>
  <si>
    <t>00000264968439</t>
  </si>
  <si>
    <t>20180815</t>
  </si>
  <si>
    <t>0084088541</t>
  </si>
  <si>
    <t>ENRIQUE BENITO NAVARRO GORDILLO</t>
  </si>
  <si>
    <t>AJUSTADOR EN SITIO PARA CRISTAL</t>
  </si>
  <si>
    <t>00000264968454</t>
  </si>
  <si>
    <t>20180526</t>
  </si>
  <si>
    <t>00000264775123</t>
  </si>
  <si>
    <t>ISUZU ELF 400 CHASIS CABINA K STD</t>
  </si>
  <si>
    <t>0082479015</t>
  </si>
  <si>
    <t>POL 264968454 VALMEX SOLUCIONE..  PEGAMOS CON 3ERO</t>
  </si>
  <si>
    <t>20180920</t>
  </si>
  <si>
    <t>0085269066</t>
  </si>
  <si>
    <t>SD SD SD</t>
  </si>
  <si>
    <t>3RO MITUVISHI OBLANDER</t>
  </si>
  <si>
    <t>00000264968470</t>
  </si>
  <si>
    <t>20180104</t>
  </si>
  <si>
    <t>0078120920</t>
  </si>
  <si>
    <t>3RO EN EL LUGAR TAXY</t>
  </si>
  <si>
    <t>00000264968488</t>
  </si>
  <si>
    <t>20180510</t>
  </si>
  <si>
    <t>0083422592</t>
  </si>
  <si>
    <t>KIA FORTE 06</t>
  </si>
  <si>
    <t>0086796182</t>
  </si>
  <si>
    <t>JULIO VILLEGAS MARTINEZ</t>
  </si>
  <si>
    <t>SI HAY 3ERO AUTO</t>
  </si>
  <si>
    <t>00000264968538</t>
  </si>
  <si>
    <t>0079232534</t>
  </si>
  <si>
    <t>3RO KIA SPORTAGE</t>
  </si>
  <si>
    <t>00000264968645</t>
  </si>
  <si>
    <t>20180416</t>
  </si>
  <si>
    <t>WB10B0606JZ932666</t>
  </si>
  <si>
    <t>0080373186</t>
  </si>
  <si>
    <t>HUMBERTO VALENCIA MEJIA</t>
  </si>
  <si>
    <t>VS SENTRA COLOR  GRIS</t>
  </si>
  <si>
    <t>0083883876</t>
  </si>
  <si>
    <t>PIEDRA</t>
  </si>
  <si>
    <t>00000264968678</t>
  </si>
  <si>
    <t>20180529</t>
  </si>
  <si>
    <t>WB10B0608JZ932698</t>
  </si>
  <si>
    <t>0081656688</t>
  </si>
  <si>
    <t>CARLOS CRUZ LEGORRETA</t>
  </si>
  <si>
    <t>AJUSTDRO DE GNP</t>
  </si>
  <si>
    <t>20181026</t>
  </si>
  <si>
    <t>0086454766</t>
  </si>
  <si>
    <t>3RO PIPA DE GAS</t>
  </si>
  <si>
    <t>00000264968694</t>
  </si>
  <si>
    <t>20180923</t>
  </si>
  <si>
    <t>WB10B0604JZ932679</t>
  </si>
  <si>
    <t>0085372092</t>
  </si>
  <si>
    <t>JOSE LUIS ARMANDO GONZALES CORDERO</t>
  </si>
  <si>
    <t>DERRAPE</t>
  </si>
  <si>
    <t>00000264968728</t>
  </si>
  <si>
    <t>WB10B060XJZ932699</t>
  </si>
  <si>
    <t>0079306247</t>
  </si>
  <si>
    <t>DANIEL BRAYAN ALVITOS AVILA</t>
  </si>
  <si>
    <t>3ERO RENAULT</t>
  </si>
  <si>
    <t>20180528</t>
  </si>
  <si>
    <t>0081626095</t>
  </si>
  <si>
    <t>AVEO BCO Y NA ESTA EN EL HOSP CONCHITA  NO CUENTA CON UN FAMILIAR Y EL SUPERVISOR EDGAR HINOJOSA ESTA LEVANTANDO EL SINIESTRO Y EL AJ 1219 RODOLF</t>
  </si>
  <si>
    <t>00000264968769</t>
  </si>
  <si>
    <t>WB10B0600JZ932758</t>
  </si>
  <si>
    <t>0087228268</t>
  </si>
  <si>
    <t>00000264968785</t>
  </si>
  <si>
    <t>WB10B0603JZ932740</t>
  </si>
  <si>
    <t>0079614657</t>
  </si>
  <si>
    <t>x</t>
  </si>
  <si>
    <t>00000266682988</t>
  </si>
  <si>
    <t>20181027</t>
  </si>
  <si>
    <t>CHEVROLET BEAT LT SEDAN BA AC RADIO STD</t>
  </si>
  <si>
    <t>0086477759</t>
  </si>
  <si>
    <t>IMPACTA CONTRA LA BANQUETA</t>
  </si>
  <si>
    <t>00000269759338</t>
  </si>
  <si>
    <t>20181109</t>
  </si>
  <si>
    <t>0086888088</t>
  </si>
  <si>
    <t>KIA AZUL</t>
  </si>
  <si>
    <t>00000270447006</t>
  </si>
  <si>
    <t>0080309362</t>
  </si>
  <si>
    <t>HAY 3RO . TSURU COLOR BLANCO</t>
  </si>
  <si>
    <t>00000270447014</t>
  </si>
  <si>
    <t>0086373743</t>
  </si>
  <si>
    <t>RAFAEL ANGEL TORRES GOLLADO</t>
  </si>
  <si>
    <t>3RO EN LUGAR JIMY GMC</t>
  </si>
  <si>
    <t>00000270447063</t>
  </si>
  <si>
    <t>0082773706</t>
  </si>
  <si>
    <t>3ERO CAMBIO DE SIPACK DE QUALITAS</t>
  </si>
  <si>
    <t>20180828</t>
  </si>
  <si>
    <t>0084500776</t>
  </si>
  <si>
    <t>MARIO ALBERTO MONTA#EZ ESPINOSA</t>
  </si>
  <si>
    <t>HAY 3RO CROS FROX NARANJA</t>
  </si>
  <si>
    <t>00000270447089</t>
  </si>
  <si>
    <t>20180613</t>
  </si>
  <si>
    <t>0082784489</t>
  </si>
  <si>
    <t>00000270447097</t>
  </si>
  <si>
    <t>3G1TA5CF1JL184028</t>
  </si>
  <si>
    <t>0080202476</t>
  </si>
  <si>
    <t>VICTOR ALFONSO ARIAS MALAGON</t>
  </si>
  <si>
    <t>SI HAY 3ERO TOYOTA RUNNER COLOR 05</t>
  </si>
  <si>
    <t>00000270447154</t>
  </si>
  <si>
    <t>0082671835</t>
  </si>
  <si>
    <t>TSURU 05</t>
  </si>
  <si>
    <t>00000271498859</t>
  </si>
  <si>
    <t>0084290907</t>
  </si>
  <si>
    <t>DIEGO GONZALEZ POLO MU#OZ</t>
  </si>
  <si>
    <t>3RO EN LUGAR HONDA GRIS</t>
  </si>
  <si>
    <t>20181011</t>
  </si>
  <si>
    <t>0085941151</t>
  </si>
  <si>
    <t>IBIZA BCO</t>
  </si>
  <si>
    <t>00000271498867</t>
  </si>
  <si>
    <t>0085517670</t>
  </si>
  <si>
    <t>GUADALUPE JAIMES RIOS</t>
  </si>
  <si>
    <t>3RO. FORD BLANCA</t>
  </si>
  <si>
    <t>00000271498958</t>
  </si>
  <si>
    <t>0079745097</t>
  </si>
  <si>
    <t>LUIS FERNANDO RIVERA CHAVARRIA</t>
  </si>
  <si>
    <t>3RO VERSA VINO</t>
  </si>
  <si>
    <t>00000277344347</t>
  </si>
  <si>
    <t>0082794249</t>
  </si>
  <si>
    <t>ISRAEL BERNAL RICO</t>
  </si>
  <si>
    <t>3RO EN LGUAR AVEO COLOR GRIS</t>
  </si>
  <si>
    <t>20180720</t>
  </si>
  <si>
    <t>0083297416</t>
  </si>
  <si>
    <t>3RO AVEO EN EL LUGAR</t>
  </si>
  <si>
    <t>20181030</t>
  </si>
  <si>
    <t>0086547437</t>
  </si>
  <si>
    <t>EN EL LUGAR CAMION BLANCO</t>
  </si>
  <si>
    <t>00000277344529</t>
  </si>
  <si>
    <t>0085819142</t>
  </si>
  <si>
    <t>ADRIAN ARTURO HERNANDEZ NU#EZ</t>
  </si>
  <si>
    <t>DA#O A OBJETO FIJO Y PEATON</t>
  </si>
  <si>
    <t>00000277344685</t>
  </si>
  <si>
    <t>20180611</t>
  </si>
  <si>
    <t>0082086430</t>
  </si>
  <si>
    <t>3RO RENLOT CLIO DORADO</t>
  </si>
  <si>
    <t>00000277345245</t>
  </si>
  <si>
    <t>0084375658</t>
  </si>
  <si>
    <t>LEONARDO ALVARADO OLVERA</t>
  </si>
  <si>
    <t>NA CUENTA CON SEPAC</t>
  </si>
  <si>
    <t>0086833613</t>
  </si>
  <si>
    <t xml:space="preserve">CR PARABRISAS 
</t>
  </si>
  <si>
    <t>0088043765</t>
  </si>
  <si>
    <t>LUIS GUSTAVO GARCIA SUAREZ</t>
  </si>
  <si>
    <t>PATRULLA MUNICIPAL</t>
  </si>
  <si>
    <t>00000277345351</t>
  </si>
  <si>
    <t>20180919</t>
  </si>
  <si>
    <t>0085209179</t>
  </si>
  <si>
    <t>RAUL GONZALEZ GARCIA</t>
  </si>
  <si>
    <t>SI 3ERRO JETTA BLANCO</t>
  </si>
  <si>
    <t>00000277345450</t>
  </si>
  <si>
    <t>0083633685</t>
  </si>
  <si>
    <t>VS LA PLUMA DE ACCESO</t>
  </si>
  <si>
    <t>00000277345476</t>
  </si>
  <si>
    <t>20180609</t>
  </si>
  <si>
    <t>0082042805</t>
  </si>
  <si>
    <t>RAFAEL PALACIOS CABRERA</t>
  </si>
  <si>
    <t>2VH MAS SPARK 05</t>
  </si>
  <si>
    <t>00000277345567</t>
  </si>
  <si>
    <t>20181019</t>
  </si>
  <si>
    <t>0086238102</t>
  </si>
  <si>
    <t>CESAR ARTURO ULLOA ROCHA</t>
  </si>
  <si>
    <t>3ERO RENAULT COLOR BLANCO</t>
  </si>
  <si>
    <t>0086837499</t>
  </si>
  <si>
    <t>3RO AVEO</t>
  </si>
  <si>
    <t>00000277345617</t>
  </si>
  <si>
    <t>0086959392</t>
  </si>
  <si>
    <t>CR LATERAL DERECHO</t>
  </si>
  <si>
    <t>00000277345641</t>
  </si>
  <si>
    <t>20181106</t>
  </si>
  <si>
    <t>0086773314</t>
  </si>
  <si>
    <t>JAIME ANTONIO FELIX GUTIERREZ</t>
  </si>
  <si>
    <t>3ERO MALIBU GRIS</t>
  </si>
  <si>
    <t>20181222</t>
  </si>
  <si>
    <t>0088301056</t>
  </si>
  <si>
    <t>3RO VH FORD WHSI CAMIONETA</t>
  </si>
  <si>
    <t>00000277345724</t>
  </si>
  <si>
    <t>20180728</t>
  </si>
  <si>
    <t>0083556266</t>
  </si>
  <si>
    <t>3RO SEAT IBIZA ROJO</t>
  </si>
  <si>
    <t>00000277345732</t>
  </si>
  <si>
    <t>0084287267</t>
  </si>
  <si>
    <t>3RO RAM GRIS</t>
  </si>
  <si>
    <t>00000277345823</t>
  </si>
  <si>
    <t>0082076050</t>
  </si>
  <si>
    <t>DIEGO RAFAEL BRISE#O MURO</t>
  </si>
  <si>
    <t>3RO NISSAN PICK UP CAJA FRIA COLOR BLANCA</t>
  </si>
  <si>
    <t>00000277345898</t>
  </si>
  <si>
    <t>0086545696</t>
  </si>
  <si>
    <t>MOISES VILLALPANDO ABUNDIS</t>
  </si>
  <si>
    <t>3RO EN LUGAR HONDA BLANCO</t>
  </si>
  <si>
    <t>00000277345955</t>
  </si>
  <si>
    <t>0087230967</t>
  </si>
  <si>
    <t>URIEL CHARGOY SERNA</t>
  </si>
  <si>
    <t>3RO TOYOTA VERDE</t>
  </si>
  <si>
    <t>00000277345997</t>
  </si>
  <si>
    <t>20180707</t>
  </si>
  <si>
    <t>0082924309</t>
  </si>
  <si>
    <t>DIEGO GUZMAN ZERON</t>
  </si>
  <si>
    <t>VW JETTA CLASSICO ROJO</t>
  </si>
  <si>
    <t>0083001016</t>
  </si>
  <si>
    <t>DIEGO ISAAC GUZMAN CERON</t>
  </si>
  <si>
    <t>3RO  VCH  VW PONITER NEGRO</t>
  </si>
  <si>
    <t>00000277346052</t>
  </si>
  <si>
    <t>20180619</t>
  </si>
  <si>
    <t>0082352139</t>
  </si>
  <si>
    <t>HUMBERTO EZEQUIEL VEGA GUZMAN</t>
  </si>
  <si>
    <t>3RO SI VERSA</t>
  </si>
  <si>
    <t>00000277346078</t>
  </si>
  <si>
    <t>20180608</t>
  </si>
  <si>
    <t>0082020116</t>
  </si>
  <si>
    <t>JOSE LUIS SALINAS URGANO</t>
  </si>
  <si>
    <t>3RO EN EL LUGRA MOTO NEGRA HONDA</t>
  </si>
  <si>
    <t>00000277346102</t>
  </si>
  <si>
    <t>20180725</t>
  </si>
  <si>
    <t>0083453514</t>
  </si>
  <si>
    <t>OSCAR ALEJANDRO SILVA MENDOZA</t>
  </si>
  <si>
    <t>POSTE</t>
  </si>
  <si>
    <t>0085936086</t>
  </si>
  <si>
    <t>3RO FIGO AZUL</t>
  </si>
  <si>
    <t>0086993557</t>
  </si>
  <si>
    <t>SI 3ERO TOYOTA RAV 4 BLANCO</t>
  </si>
  <si>
    <t>00000277346110</t>
  </si>
  <si>
    <t>3G1TA5CF7JL195499</t>
  </si>
  <si>
    <t>0082346578</t>
  </si>
  <si>
    <t>JORGE ALBERTO FLORES SANTOS</t>
  </si>
  <si>
    <t>NA ATROPELLA DE UN PERRO</t>
  </si>
  <si>
    <t>20181023</t>
  </si>
  <si>
    <t>0086352267</t>
  </si>
  <si>
    <t>3ERO VOYAGUER ARENA</t>
  </si>
  <si>
    <t>00000277346177</t>
  </si>
  <si>
    <t>0087041380</t>
  </si>
  <si>
    <t>EDUARDO HERNANDEZ CAMPOS</t>
  </si>
  <si>
    <t>3ERO MAZDA GRIS</t>
  </si>
  <si>
    <t>0087632741</t>
  </si>
  <si>
    <t>3RO  SUBURBAN  AZUL</t>
  </si>
  <si>
    <t>00000277346193</t>
  </si>
  <si>
    <t>0087010898</t>
  </si>
  <si>
    <t>CARLOS ARELLANO SUCEDO</t>
  </si>
  <si>
    <t>IGMOGONZ</t>
  </si>
  <si>
    <t>00000277346235</t>
  </si>
  <si>
    <t>0085939981</t>
  </si>
  <si>
    <t>DAVID ROLANDO LANDEROS</t>
  </si>
  <si>
    <t>VS UNOS MUROS Y UNAS TRABES</t>
  </si>
  <si>
    <t>00000277346367</t>
  </si>
  <si>
    <t>0084369263</t>
  </si>
  <si>
    <t>MARCO ANTONIO ELIZALDE CARDENAS</t>
  </si>
  <si>
    <t>3RO BEAT AZUL</t>
  </si>
  <si>
    <t>0084525419</t>
  </si>
  <si>
    <t>ATROPELLAMIENTO</t>
  </si>
  <si>
    <t>00000277346375</t>
  </si>
  <si>
    <t>20181029</t>
  </si>
  <si>
    <t>0086506623</t>
  </si>
  <si>
    <t>FRANCISCO GOMEZ HERNANDEZ</t>
  </si>
  <si>
    <t>3ERO PIPA DE 3.5 BLANCO</t>
  </si>
  <si>
    <t>00000277346474</t>
  </si>
  <si>
    <t>0082766791</t>
  </si>
  <si>
    <t>DIEGO ULISES BARAJAS AMEZCUA</t>
  </si>
  <si>
    <t>3 ERO  FORD  RANGER  COLOR  BEIGE</t>
  </si>
  <si>
    <t>00000277346565</t>
  </si>
  <si>
    <t>20181015</t>
  </si>
  <si>
    <t>0086054491</t>
  </si>
  <si>
    <t>AUTOAJUSTE   SMS 5543438651</t>
  </si>
  <si>
    <t>00000277346730</t>
  </si>
  <si>
    <t>20181226</t>
  </si>
  <si>
    <t>0088374459</t>
  </si>
  <si>
    <t>00000277346771</t>
  </si>
  <si>
    <t>20180829</t>
  </si>
  <si>
    <t>0084537836</t>
  </si>
  <si>
    <t>DAMARIS ANAHI IBARRA ALVARADO</t>
  </si>
  <si>
    <t>DA.OS EN TUBERIA DE EDIFICIO POR LLUVIA Y TUBERIA CAE AVEO</t>
  </si>
  <si>
    <t>00000277346797</t>
  </si>
  <si>
    <t>20180906</t>
  </si>
  <si>
    <t>0084816339</t>
  </si>
  <si>
    <t>00000277346821</t>
  </si>
  <si>
    <t>0086371812</t>
  </si>
  <si>
    <t>JAVIER PACHECO VASQUEZ</t>
  </si>
  <si>
    <t>SI HAY3RO AVEO GRIS PLACAS NCB5640</t>
  </si>
  <si>
    <t>00000277346987</t>
  </si>
  <si>
    <t>0083949636</t>
  </si>
  <si>
    <t>3ERO. CAMION DE PASAJEROS</t>
  </si>
  <si>
    <t>00000277347050</t>
  </si>
  <si>
    <t>0086584422</t>
  </si>
  <si>
    <t>LATERALTRASERO DERECHO</t>
  </si>
  <si>
    <t>00000277347126</t>
  </si>
  <si>
    <t>20181206</t>
  </si>
  <si>
    <t>0087771770</t>
  </si>
  <si>
    <t>3RO TRAX / ASIGNAR A AJ SPV1930S - C5783</t>
  </si>
  <si>
    <t>00000302627120</t>
  </si>
  <si>
    <t>0087924627</t>
  </si>
  <si>
    <t>GERARDO MARQUEZ ZEPULVEDA</t>
  </si>
  <si>
    <t>3RO CIVIC NEGRO</t>
  </si>
  <si>
    <t>2017/2018</t>
  </si>
  <si>
    <t>201801</t>
  </si>
  <si>
    <t>201802</t>
  </si>
  <si>
    <t>201803</t>
  </si>
  <si>
    <t>201804</t>
  </si>
  <si>
    <t>201805</t>
  </si>
  <si>
    <t>201806</t>
  </si>
  <si>
    <t>201807</t>
  </si>
  <si>
    <t>201808</t>
  </si>
  <si>
    <t>201809</t>
  </si>
  <si>
    <t>201810</t>
  </si>
  <si>
    <t>201811</t>
  </si>
  <si>
    <t>Total 2017/2018</t>
  </si>
  <si>
    <t>Total 60250</t>
  </si>
  <si>
    <t>Fecha elaboración: 13/02/2019</t>
  </si>
  <si>
    <t>NOMBRE DEL CONDUCTOR registrado en cabina</t>
  </si>
  <si>
    <t>Siniestralidad 2019</t>
  </si>
  <si>
    <t>PAGO SINIESTROS</t>
  </si>
  <si>
    <t>Numero de Siniestros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</si>
</sst>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mm\-yy"/>
    <numFmt numFmtId="166" formatCode="_-&quot;$&quot;* #,##0_-;\-&quot;$&quot;* #,##0_-;_-&quot;$&quot;* &quot;-&quot;??_-;_-@_-"/>
    <numFmt numFmtId="167" formatCode="&quot;$&quot;#,##0.00"/>
    <numFmt numFmtId="168" formatCode="&quot;$&quot;#,##0"/>
  </numFmts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indexed="62"/>
      <name val="Arial Unicode MS"/>
      <family val="2"/>
    </font>
    <font>
      <sz val="10"/>
      <color indexed="62"/>
      <name val="Arial Unicode MS"/>
      <family val="2"/>
    </font>
    <font>
      <sz val="8"/>
      <color indexed="12"/>
      <name val="Tahoma"/>
      <family val="2"/>
    </font>
    <font>
      <b/>
      <sz val="10"/>
      <color indexed="12"/>
      <name val="Tahoma"/>
      <family val="2"/>
    </font>
    <font>
      <b/>
      <sz val="20"/>
      <color theme="0"/>
      <name val="Arial"/>
      <family val="2"/>
    </font>
    <font>
      <b/>
      <sz val="12"/>
      <color indexed="62"/>
      <name val="Arial Unicode MS"/>
      <family val="2"/>
    </font>
    <font>
      <sz val="10"/>
      <name val="Times New Roman"/>
      <family val="1"/>
    </font>
    <font>
      <sz val="10"/>
      <color rgb="FF000000"/>
      <name val="Times New Roman"/>
      <family val="1"/>
    </font>
    <font>
      <b/>
      <sz val="11"/>
      <color indexed="9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9" tint="0.39997558519241921"/>
      <name val="Arial"/>
      <family val="2"/>
    </font>
    <font>
      <b/>
      <u/>
      <sz val="11"/>
      <color theme="1"/>
      <name val="Arial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0"/>
      <color theme="0"/>
      <name val="Arial"/>
      <family val="2"/>
    </font>
    <font>
      <sz val="11"/>
      <color indexed="62"/>
      <name val="Arial Unicode MS"/>
      <family val="2"/>
    </font>
    <font>
      <b/>
      <u/>
      <sz val="11"/>
      <color theme="0"/>
      <name val="Arial"/>
      <family val="2"/>
    </font>
    <font>
      <sz val="11"/>
      <name val="Arial Unicode MS"/>
      <family val="2"/>
    </font>
    <font>
      <sz val="10"/>
      <color rgb="FF002060"/>
      <name val="Arial"/>
      <family val="2"/>
    </font>
    <font>
      <sz val="11"/>
      <color rgb="FF002060"/>
      <name val="Calibri"/>
      <family val="2"/>
      <scheme val="minor"/>
    </font>
    <font>
      <b/>
      <sz val="12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37">
    <border>
      <left/>
      <right/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6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65"/>
      </left>
      <right style="thin">
        <color indexed="55"/>
      </right>
      <top style="thin">
        <color indexed="55"/>
      </top>
      <bottom/>
      <diagonal/>
    </border>
    <border>
      <left style="thin">
        <color indexed="65"/>
      </left>
      <right/>
      <top style="thin">
        <color indexed="55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indexed="53"/>
      </left>
      <right/>
      <top style="thin">
        <color theme="0" tint="-0.499984740745262"/>
      </top>
      <bottom/>
      <diagonal/>
    </border>
    <border>
      <left style="thin">
        <color indexed="53"/>
      </left>
      <right style="thin">
        <color indexed="53"/>
      </right>
      <top style="thin">
        <color theme="0" tint="-0.499984740745262"/>
      </top>
      <bottom/>
      <diagonal/>
    </border>
    <border>
      <left/>
      <right style="thin">
        <color indexed="53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55"/>
      </left>
      <right/>
      <top style="thin">
        <color indexed="65"/>
      </top>
      <bottom/>
      <diagonal/>
    </border>
    <border>
      <left style="thin">
        <color indexed="55"/>
      </left>
      <right style="thin">
        <color indexed="55"/>
      </right>
      <top style="thin">
        <color indexed="65"/>
      </top>
      <bottom/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8" fillId="0" borderId="0"/>
    <xf numFmtId="0" fontId="9" fillId="0" borderId="0"/>
    <xf numFmtId="0" fontId="8" fillId="0" borderId="0"/>
    <xf numFmtId="43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" fillId="0" borderId="0"/>
  </cellStyleXfs>
  <cellXfs count="160">
    <xf numFmtId="0" fontId="0" fillId="0" borderId="0" xfId="0"/>
    <xf numFmtId="0" fontId="0" fillId="0" borderId="0" xfId="0" applyBorder="1"/>
    <xf numFmtId="164" fontId="2" fillId="0" borderId="1" xfId="0" applyNumberFormat="1" applyFont="1" applyBorder="1"/>
    <xf numFmtId="4" fontId="2" fillId="0" borderId="1" xfId="0" applyNumberFormat="1" applyFont="1" applyBorder="1"/>
    <xf numFmtId="3" fontId="2" fillId="0" borderId="1" xfId="0" applyNumberFormat="1" applyFont="1" applyBorder="1"/>
    <xf numFmtId="0" fontId="2" fillId="0" borderId="2" xfId="0" applyFont="1" applyBorder="1"/>
    <xf numFmtId="0" fontId="2" fillId="0" borderId="1" xfId="0" applyFont="1" applyBorder="1"/>
    <xf numFmtId="0" fontId="2" fillId="0" borderId="3" xfId="0" applyFont="1" applyBorder="1"/>
    <xf numFmtId="4" fontId="3" fillId="0" borderId="0" xfId="0" applyNumberFormat="1" applyFont="1" applyBorder="1"/>
    <xf numFmtId="164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164" fontId="2" fillId="0" borderId="6" xfId="0" applyNumberFormat="1" applyFont="1" applyBorder="1"/>
    <xf numFmtId="4" fontId="2" fillId="0" borderId="7" xfId="0" applyNumberFormat="1" applyFont="1" applyBorder="1"/>
    <xf numFmtId="3" fontId="2" fillId="0" borderId="7" xfId="0" applyNumberFormat="1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4" fillId="2" borderId="15" xfId="0" quotePrefix="1" applyFont="1" applyFill="1" applyBorder="1" applyAlignment="1">
      <alignment horizontal="center" vertical="center" wrapText="1"/>
    </xf>
    <xf numFmtId="0" fontId="4" fillId="2" borderId="0" xfId="0" quotePrefix="1" applyFont="1" applyFill="1" applyBorder="1" applyAlignment="1">
      <alignment horizontal="center" vertical="center" wrapText="1"/>
    </xf>
    <xf numFmtId="0" fontId="4" fillId="2" borderId="16" xfId="0" quotePrefix="1" applyFont="1" applyFill="1" applyBorder="1" applyAlignment="1">
      <alignment horizontal="center" vertical="center" wrapText="1"/>
    </xf>
    <xf numFmtId="0" fontId="5" fillId="2" borderId="18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3" fillId="0" borderId="0" xfId="0" applyFont="1"/>
    <xf numFmtId="0" fontId="7" fillId="0" borderId="0" xfId="0" applyFont="1"/>
    <xf numFmtId="4" fontId="2" fillId="0" borderId="2" xfId="0" applyNumberFormat="1" applyFont="1" applyBorder="1"/>
    <xf numFmtId="4" fontId="2" fillId="0" borderId="6" xfId="0" applyNumberFormat="1" applyFont="1" applyBorder="1"/>
    <xf numFmtId="0" fontId="4" fillId="2" borderId="17" xfId="0" quotePrefix="1" applyFont="1" applyFill="1" applyBorder="1" applyAlignment="1">
      <alignment horizontal="center" vertical="center" wrapText="1"/>
    </xf>
    <xf numFmtId="1" fontId="10" fillId="4" borderId="0" xfId="0" applyNumberFormat="1" applyFont="1" applyFill="1"/>
    <xf numFmtId="2" fontId="10" fillId="4" borderId="0" xfId="0" applyNumberFormat="1" applyFont="1" applyFill="1"/>
    <xf numFmtId="0" fontId="10" fillId="4" borderId="0" xfId="0" applyFont="1" applyFill="1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13" fillId="0" borderId="33" xfId="0" applyFont="1" applyFill="1" applyBorder="1" applyAlignment="1">
      <alignment horizontal="center"/>
    </xf>
    <xf numFmtId="0" fontId="13" fillId="6" borderId="33" xfId="0" applyFont="1" applyFill="1" applyBorder="1" applyAlignment="1">
      <alignment horizontal="center"/>
    </xf>
    <xf numFmtId="0" fontId="13" fillId="7" borderId="33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3" fontId="11" fillId="9" borderId="33" xfId="4" applyNumberFormat="1" applyFont="1" applyFill="1" applyBorder="1" applyAlignment="1">
      <alignment horizontal="center"/>
    </xf>
    <xf numFmtId="3" fontId="15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5" fontId="14" fillId="12" borderId="33" xfId="0" applyNumberFormat="1" applyFont="1" applyFill="1" applyBorder="1" applyAlignment="1">
      <alignment horizontal="center"/>
    </xf>
    <xf numFmtId="0" fontId="14" fillId="12" borderId="33" xfId="0" applyFont="1" applyFill="1" applyBorder="1" applyAlignment="1">
      <alignment horizontal="center"/>
    </xf>
    <xf numFmtId="0" fontId="14" fillId="13" borderId="33" xfId="0" applyFont="1" applyFill="1" applyBorder="1" applyAlignment="1">
      <alignment horizontal="center"/>
    </xf>
    <xf numFmtId="0" fontId="14" fillId="14" borderId="33" xfId="0" applyFont="1" applyFill="1" applyBorder="1" applyAlignment="1">
      <alignment horizontal="center"/>
    </xf>
    <xf numFmtId="3" fontId="13" fillId="11" borderId="33" xfId="4" applyNumberFormat="1" applyFont="1" applyFill="1" applyBorder="1" applyAlignment="1">
      <alignment horizontal="center"/>
    </xf>
    <xf numFmtId="3" fontId="11" fillId="0" borderId="33" xfId="4" applyNumberFormat="1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3" fontId="12" fillId="11" borderId="0" xfId="0" applyNumberFormat="1" applyFont="1" applyFill="1" applyAlignment="1">
      <alignment horizontal="center"/>
    </xf>
    <xf numFmtId="10" fontId="12" fillId="11" borderId="0" xfId="0" applyNumberFormat="1" applyFont="1" applyFill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17" fillId="0" borderId="33" xfId="0" applyFont="1" applyFill="1" applyBorder="1" applyAlignment="1">
      <alignment horizontal="center"/>
    </xf>
    <xf numFmtId="165" fontId="17" fillId="5" borderId="33" xfId="0" applyNumberFormat="1" applyFont="1" applyFill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6" borderId="33" xfId="0" applyFont="1" applyFill="1" applyBorder="1" applyAlignment="1">
      <alignment horizontal="center"/>
    </xf>
    <xf numFmtId="0" fontId="17" fillId="7" borderId="33" xfId="0" applyFont="1" applyFill="1" applyBorder="1" applyAlignment="1">
      <alignment horizontal="center"/>
    </xf>
    <xf numFmtId="0" fontId="18" fillId="8" borderId="33" xfId="0" applyFont="1" applyFill="1" applyBorder="1" applyAlignment="1">
      <alignment horizontal="center"/>
    </xf>
    <xf numFmtId="166" fontId="19" fillId="9" borderId="33" xfId="5" applyNumberFormat="1" applyFont="1" applyFill="1" applyBorder="1" applyAlignment="1">
      <alignment horizontal="center"/>
    </xf>
    <xf numFmtId="3" fontId="19" fillId="9" borderId="33" xfId="4" applyNumberFormat="1" applyFont="1" applyFill="1" applyBorder="1" applyAlignment="1">
      <alignment horizontal="center"/>
    </xf>
    <xf numFmtId="0" fontId="18" fillId="10" borderId="33" xfId="0" applyFont="1" applyFill="1" applyBorder="1" applyAlignment="1">
      <alignment horizontal="center"/>
    </xf>
    <xf numFmtId="166" fontId="19" fillId="9" borderId="33" xfId="4" applyNumberFormat="1" applyFont="1" applyFill="1" applyBorder="1" applyAlignment="1">
      <alignment horizontal="center"/>
    </xf>
    <xf numFmtId="17" fontId="0" fillId="0" borderId="0" xfId="0" applyNumberFormat="1"/>
    <xf numFmtId="44" fontId="19" fillId="0" borderId="33" xfId="5" applyFont="1" applyFill="1" applyBorder="1" applyAlignment="1">
      <alignment horizontal="center"/>
    </xf>
    <xf numFmtId="44" fontId="18" fillId="10" borderId="33" xfId="5" applyFont="1" applyFill="1" applyBorder="1" applyAlignment="1">
      <alignment horizontal="center"/>
    </xf>
    <xf numFmtId="44" fontId="0" fillId="0" borderId="0" xfId="0" applyNumberFormat="1" applyAlignment="1">
      <alignment horizontal="center"/>
    </xf>
    <xf numFmtId="10" fontId="12" fillId="11" borderId="0" xfId="0" applyNumberFormat="1" applyFont="1" applyFill="1" applyAlignment="1">
      <alignment horizontal="right"/>
    </xf>
    <xf numFmtId="167" fontId="12" fillId="11" borderId="0" xfId="5" applyNumberFormat="1" applyFont="1" applyFill="1" applyAlignment="1">
      <alignment horizontal="right"/>
    </xf>
    <xf numFmtId="0" fontId="21" fillId="0" borderId="10" xfId="0" applyFont="1" applyBorder="1"/>
    <xf numFmtId="0" fontId="21" fillId="0" borderId="14" xfId="0" applyFont="1" applyBorder="1"/>
    <xf numFmtId="3" fontId="21" fillId="0" borderId="7" xfId="0" applyNumberFormat="1" applyFont="1" applyBorder="1"/>
    <xf numFmtId="4" fontId="21" fillId="0" borderId="7" xfId="0" applyNumberFormat="1" applyFont="1" applyBorder="1"/>
    <xf numFmtId="164" fontId="21" fillId="0" borderId="6" xfId="0" applyNumberFormat="1" applyFont="1" applyBorder="1"/>
    <xf numFmtId="0" fontId="21" fillId="0" borderId="11" xfId="0" applyFont="1" applyBorder="1"/>
    <xf numFmtId="0" fontId="21" fillId="0" borderId="13" xfId="0" applyFont="1" applyBorder="1"/>
    <xf numFmtId="3" fontId="21" fillId="0" borderId="0" xfId="0" applyNumberFormat="1" applyFont="1" applyBorder="1"/>
    <xf numFmtId="4" fontId="21" fillId="0" borderId="0" xfId="0" applyNumberFormat="1" applyFont="1" applyBorder="1"/>
    <xf numFmtId="164" fontId="21" fillId="0" borderId="12" xfId="0" applyNumberFormat="1" applyFont="1" applyBorder="1"/>
    <xf numFmtId="0" fontId="21" fillId="0" borderId="0" xfId="0" applyFont="1" applyBorder="1"/>
    <xf numFmtId="164" fontId="21" fillId="0" borderId="0" xfId="0" applyNumberFormat="1" applyFont="1" applyBorder="1"/>
    <xf numFmtId="4" fontId="21" fillId="0" borderId="6" xfId="0" applyNumberFormat="1" applyFont="1" applyBorder="1"/>
    <xf numFmtId="0" fontId="21" fillId="0" borderId="28" xfId="0" applyFont="1" applyBorder="1"/>
    <xf numFmtId="0" fontId="21" fillId="0" borderId="29" xfId="0" applyFont="1" applyBorder="1"/>
    <xf numFmtId="4" fontId="21" fillId="0" borderId="12" xfId="0" applyNumberFormat="1" applyFont="1" applyBorder="1"/>
    <xf numFmtId="0" fontId="20" fillId="0" borderId="0" xfId="0" applyFont="1"/>
    <xf numFmtId="3" fontId="20" fillId="0" borderId="0" xfId="0" applyNumberFormat="1" applyFont="1" applyAlignment="1">
      <alignment horizontal="center"/>
    </xf>
    <xf numFmtId="3" fontId="14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6" fillId="3" borderId="24" xfId="0" applyFont="1" applyFill="1" applyBorder="1" applyAlignment="1">
      <alignment horizontal="center"/>
    </xf>
    <xf numFmtId="1" fontId="10" fillId="16" borderId="0" xfId="0" applyNumberFormat="1" applyFont="1" applyFill="1"/>
    <xf numFmtId="168" fontId="0" fillId="0" borderId="0" xfId="0" applyNumberFormat="1"/>
    <xf numFmtId="3" fontId="23" fillId="0" borderId="33" xfId="0" applyNumberFormat="1" applyFont="1" applyBorder="1" applyAlignment="1">
      <alignment horizontal="center"/>
    </xf>
    <xf numFmtId="44" fontId="0" fillId="0" borderId="0" xfId="0" applyNumberFormat="1"/>
    <xf numFmtId="0" fontId="6" fillId="3" borderId="24" xfId="0" applyFont="1" applyFill="1" applyBorder="1" applyAlignment="1">
      <alignment horizontal="center"/>
    </xf>
    <xf numFmtId="17" fontId="0" fillId="0" borderId="0" xfId="0" applyNumberFormat="1" applyAlignment="1">
      <alignment horizontal="center"/>
    </xf>
    <xf numFmtId="1" fontId="10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0" xfId="0" applyFont="1" applyBorder="1"/>
    <xf numFmtId="0" fontId="3" fillId="0" borderId="14" xfId="0" applyFont="1" applyBorder="1"/>
    <xf numFmtId="3" fontId="3" fillId="0" borderId="7" xfId="0" applyNumberFormat="1" applyFont="1" applyBorder="1"/>
    <xf numFmtId="4" fontId="3" fillId="0" borderId="7" xfId="0" applyNumberFormat="1" applyFont="1" applyBorder="1"/>
    <xf numFmtId="4" fontId="3" fillId="0" borderId="6" xfId="0" applyNumberFormat="1" applyFont="1" applyBorder="1"/>
    <xf numFmtId="0" fontId="3" fillId="0" borderId="28" xfId="0" applyFont="1" applyBorder="1"/>
    <xf numFmtId="0" fontId="3" fillId="0" borderId="29" xfId="0" applyFont="1" applyBorder="1"/>
    <xf numFmtId="0" fontId="3" fillId="0" borderId="13" xfId="0" applyFont="1" applyBorder="1"/>
    <xf numFmtId="3" fontId="3" fillId="0" borderId="0" xfId="0" applyNumberFormat="1" applyFont="1" applyBorder="1"/>
    <xf numFmtId="4" fontId="3" fillId="0" borderId="12" xfId="0" applyNumberFormat="1" applyFont="1" applyBorder="1"/>
    <xf numFmtId="0" fontId="3" fillId="0" borderId="0" xfId="0" applyFont="1" applyBorder="1"/>
    <xf numFmtId="44" fontId="10" fillId="4" borderId="0" xfId="5" applyFont="1" applyFill="1"/>
    <xf numFmtId="44" fontId="0" fillId="0" borderId="0" xfId="5" applyFont="1"/>
    <xf numFmtId="44" fontId="10" fillId="16" borderId="0" xfId="5" applyFont="1" applyFill="1"/>
    <xf numFmtId="44" fontId="10" fillId="17" borderId="0" xfId="5" applyFont="1" applyFill="1"/>
    <xf numFmtId="0" fontId="0" fillId="0" borderId="0" xfId="0" applyFill="1"/>
    <xf numFmtId="1" fontId="24" fillId="0" borderId="0" xfId="0" applyNumberFormat="1" applyFont="1" applyFill="1"/>
    <xf numFmtId="2" fontId="24" fillId="0" borderId="0" xfId="0" applyNumberFormat="1" applyFont="1" applyFill="1"/>
    <xf numFmtId="44" fontId="24" fillId="0" borderId="0" xfId="5" applyFont="1" applyFill="1"/>
    <xf numFmtId="44" fontId="25" fillId="0" borderId="0" xfId="5" applyFont="1" applyFill="1"/>
    <xf numFmtId="14" fontId="24" fillId="0" borderId="0" xfId="0" applyNumberFormat="1" applyFont="1" applyFill="1"/>
    <xf numFmtId="1" fontId="25" fillId="0" borderId="0" xfId="6" applyNumberFormat="1" applyFont="1" applyFill="1"/>
    <xf numFmtId="17" fontId="24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Alignment="1">
      <alignment horizontal="center" vertical="center"/>
    </xf>
    <xf numFmtId="0" fontId="25" fillId="0" borderId="0" xfId="6" applyFont="1" applyFill="1"/>
    <xf numFmtId="1" fontId="24" fillId="0" borderId="0" xfId="0" applyNumberFormat="1" applyFont="1" applyFill="1" applyAlignment="1">
      <alignment wrapText="1"/>
    </xf>
    <xf numFmtId="168" fontId="0" fillId="0" borderId="0" xfId="0" applyNumberFormat="1" applyAlignment="1">
      <alignment horizontal="center"/>
    </xf>
    <xf numFmtId="0" fontId="13" fillId="0" borderId="0" xfId="0" applyFont="1"/>
    <xf numFmtId="0" fontId="6" fillId="3" borderId="27" xfId="0" applyFont="1" applyFill="1" applyBorder="1" applyAlignment="1">
      <alignment horizontal="center"/>
    </xf>
    <xf numFmtId="0" fontId="6" fillId="3" borderId="26" xfId="0" applyFont="1" applyFill="1" applyBorder="1" applyAlignment="1">
      <alignment horizontal="center"/>
    </xf>
    <xf numFmtId="0" fontId="6" fillId="3" borderId="25" xfId="0" applyFont="1" applyFill="1" applyBorder="1" applyAlignment="1">
      <alignment horizontal="center"/>
    </xf>
    <xf numFmtId="4" fontId="5" fillId="2" borderId="20" xfId="0" applyNumberFormat="1" applyFont="1" applyFill="1" applyBorder="1" applyAlignment="1">
      <alignment horizontal="center" vertical="center" wrapText="1"/>
    </xf>
    <xf numFmtId="4" fontId="5" fillId="2" borderId="16" xfId="0" applyNumberFormat="1" applyFont="1" applyFill="1" applyBorder="1" applyAlignment="1">
      <alignment horizontal="center" vertical="center" wrapText="1"/>
    </xf>
    <xf numFmtId="4" fontId="5" fillId="2" borderId="19" xfId="0" applyNumberFormat="1" applyFont="1" applyFill="1" applyBorder="1" applyAlignment="1">
      <alignment horizontal="center" vertical="center" wrapText="1"/>
    </xf>
    <xf numFmtId="4" fontId="5" fillId="2" borderId="15" xfId="0" applyNumberFormat="1" applyFont="1" applyFill="1" applyBorder="1" applyAlignment="1">
      <alignment horizontal="center" vertical="center" wrapText="1"/>
    </xf>
    <xf numFmtId="4" fontId="5" fillId="2" borderId="24" xfId="0" applyNumberFormat="1" applyFont="1" applyFill="1" applyBorder="1" applyAlignment="1">
      <alignment horizontal="center" vertical="center" wrapText="1"/>
    </xf>
    <xf numFmtId="4" fontId="5" fillId="2" borderId="17" xfId="0" applyNumberFormat="1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5" fillId="2" borderId="24" xfId="0" applyFont="1" applyFill="1" applyBorder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/>
    </xf>
    <xf numFmtId="0" fontId="6" fillId="3" borderId="18" xfId="0" applyFont="1" applyFill="1" applyBorder="1" applyAlignment="1">
      <alignment horizontal="center"/>
    </xf>
    <xf numFmtId="0" fontId="6" fillId="3" borderId="24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5" fillId="2" borderId="32" xfId="0" applyFont="1" applyFill="1" applyBorder="1" applyAlignment="1">
      <alignment horizontal="center" vertical="center" wrapText="1"/>
    </xf>
    <xf numFmtId="0" fontId="5" fillId="2" borderId="31" xfId="0" applyFont="1" applyFill="1" applyBorder="1" applyAlignment="1">
      <alignment horizontal="center" vertical="center" wrapText="1"/>
    </xf>
    <xf numFmtId="0" fontId="5" fillId="2" borderId="30" xfId="0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26" fillId="15" borderId="0" xfId="0" applyFont="1" applyFill="1" applyAlignment="1">
      <alignment horizontal="center"/>
    </xf>
    <xf numFmtId="0" fontId="22" fillId="12" borderId="34" xfId="0" applyFont="1" applyFill="1" applyBorder="1" applyAlignment="1">
      <alignment horizontal="center"/>
    </xf>
    <xf numFmtId="0" fontId="22" fillId="12" borderId="35" xfId="0" applyFont="1" applyFill="1" applyBorder="1" applyAlignment="1">
      <alignment horizontal="center"/>
    </xf>
    <xf numFmtId="0" fontId="22" fillId="12" borderId="36" xfId="0" applyFont="1" applyFill="1" applyBorder="1" applyAlignment="1">
      <alignment horizontal="center"/>
    </xf>
    <xf numFmtId="0" fontId="16" fillId="5" borderId="34" xfId="0" applyFont="1" applyFill="1" applyBorder="1" applyAlignment="1">
      <alignment horizontal="center"/>
    </xf>
    <xf numFmtId="0" fontId="16" fillId="5" borderId="35" xfId="0" applyFont="1" applyFill="1" applyBorder="1" applyAlignment="1">
      <alignment horizontal="center"/>
    </xf>
    <xf numFmtId="0" fontId="16" fillId="5" borderId="36" xfId="0" applyFont="1" applyFill="1" applyBorder="1" applyAlignment="1">
      <alignment horizontal="center"/>
    </xf>
  </cellXfs>
  <cellStyles count="7">
    <cellStyle name="Millares" xfId="4" builtinId="3"/>
    <cellStyle name="Moneda" xfId="5" builtinId="4"/>
    <cellStyle name="Normal" xfId="0" builtinId="0"/>
    <cellStyle name="Normal 10" xfId="1" xr:uid="{00000000-0005-0000-0000-000003000000}"/>
    <cellStyle name="Normal 14" xfId="2" xr:uid="{00000000-0005-0000-0000-000004000000}"/>
    <cellStyle name="Normal 2" xfId="6" xr:uid="{00000000-0005-0000-0000-000005000000}"/>
    <cellStyle name="Normal 64" xfId="3" xr:uid="{00000000-0005-0000-0000-000006000000}"/>
  </cellStyles>
  <dxfs count="82"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numFmt numFmtId="168" formatCode="&quot;$&quot;#,##0"/>
    </dxf>
    <dxf>
      <alignment horizontal="center" readingOrder="0"/>
    </dxf>
    <dxf>
      <alignment horizontal="center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&quot;$&quot;#,##0"/>
    </dxf>
    <dxf>
      <font>
        <b/>
      </font>
    </dxf>
    <dxf>
      <alignment horizontal="center" readingOrder="0"/>
    </dxf>
    <dxf>
      <alignment horizontal="center" readingOrder="0"/>
    </dxf>
    <dxf>
      <numFmt numFmtId="22" formatCode="mmm\-yy"/>
    </dxf>
    <dxf>
      <font>
        <color rgb="FF9C0006"/>
      </font>
      <fill>
        <patternFill>
          <bgColor rgb="FFFFC7CE"/>
        </patternFill>
      </fill>
    </dxf>
    <dxf>
      <font>
        <b/>
      </font>
    </dxf>
    <dxf>
      <alignment horizontal="center" readingOrder="0"/>
    </dxf>
    <dxf>
      <alignment horizontal="center" readingOrder="0"/>
    </dxf>
    <dxf>
      <numFmt numFmtId="22" formatCode="mmm\-yy"/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numFmt numFmtId="168" formatCode="&quot;$&quot;#,##0"/>
    </dxf>
    <dxf>
      <alignment horizontal="center" readingOrder="0"/>
    </dxf>
  </dxfs>
  <tableStyles count="0" defaultTableStyle="TableStyleMedium2" defaultPivotStyle="PivotStyleLight16"/>
  <colors>
    <mruColors>
      <color rgb="FFFFFF66"/>
      <color rgb="FFF4069F"/>
      <color rgb="FFFF9900"/>
      <color rgb="FF00CC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microsoft.com/office/2007/relationships/slicerCache" Target="slicerCaches/slicerCache9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07/relationships/slicerCache" Target="slicerCaches/slicerCache12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microsoft.com/office/2007/relationships/slicerCache" Target="slicerCaches/slicerCache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styles" Target="styles.xml"/><Relationship Id="rId10" Type="http://schemas.microsoft.com/office/2007/relationships/slicerCache" Target="slicerCaches/slicerCache1.xml"/><Relationship Id="rId19" Type="http://schemas.microsoft.com/office/2007/relationships/slicerCache" Target="slicerCaches/slicerCache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[Siniestralidad 2019 (Agentes Empleados Julio 2019).xlsm]Resumen!Tabla dinámica3</c:name>
    <c:fmtId val="2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tx1">
            <a:lumMod val="50000"/>
            <a:lumOff val="50000"/>
          </a:schemeClr>
        </a:solidFill>
        <a:ln>
          <a:noFill/>
        </a:ln>
        <a:effectLst/>
        <a:sp3d/>
      </c:spPr>
    </c:floor>
    <c:sideWall>
      <c:thickness val="0"/>
      <c:spPr>
        <a:solidFill>
          <a:schemeClr val="tx1">
            <a:lumMod val="50000"/>
            <a:lumOff val="50000"/>
          </a:schemeClr>
        </a:solidFill>
        <a:ln>
          <a:noFill/>
        </a:ln>
        <a:effectLst/>
        <a:sp3d/>
      </c:spPr>
    </c:sideWall>
    <c:backWall>
      <c:thickness val="0"/>
      <c:spPr>
        <a:solidFill>
          <a:schemeClr val="tx1">
            <a:lumMod val="50000"/>
            <a:lumOff val="50000"/>
          </a:schemeClr>
        </a:solidFill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499614786957606E-2"/>
          <c:y val="0.19496132942778924"/>
          <c:w val="0.6219929225264752"/>
          <c:h val="0.7353633118588258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Resumen!$B$3</c:f>
              <c:strCache>
                <c:ptCount val="1"/>
                <c:pt idx="0">
                  <c:v>may-19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Resumen!$B$4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6-4EE4-A7F0-1D88AFB481B3}"/>
            </c:ext>
          </c:extLst>
        </c:ser>
        <c:ser>
          <c:idx val="1"/>
          <c:order val="1"/>
          <c:tx>
            <c:strRef>
              <c:f>Resumen!$C$3</c:f>
              <c:strCache>
                <c:ptCount val="1"/>
                <c:pt idx="0">
                  <c:v>jul-19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Resumen!$C$4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A6-4EE4-A7F0-1D88AFB48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41073344"/>
        <c:axId val="2141064096"/>
        <c:axId val="0"/>
      </c:bar3DChart>
      <c:catAx>
        <c:axId val="21410733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1064096"/>
        <c:crosses val="autoZero"/>
        <c:auto val="1"/>
        <c:lblAlgn val="ctr"/>
        <c:lblOffset val="100"/>
        <c:noMultiLvlLbl val="0"/>
      </c:catAx>
      <c:valAx>
        <c:axId val="214106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4107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44278606965172"/>
          <c:y val="0.24940436795172899"/>
          <c:w val="0.28160396721926534"/>
          <c:h val="0.30112818769994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[Siniestralidad 2019 (Agentes Empleados Julio 2019).xlsm]Resumen!Tabla dinámica4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45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sideWall>
    <c:backWall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176294794833815"/>
          <c:y val="0.22556040144191869"/>
          <c:w val="0.5313063589823549"/>
          <c:h val="0.7366145488444496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Resumen!$B$6</c:f>
              <c:strCache>
                <c:ptCount val="1"/>
                <c:pt idx="0">
                  <c:v>may-19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45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Resumen!$B$7</c:f>
              <c:numCache>
                <c:formatCode>"$"#,##0</c:formatCode>
                <c:ptCount val="1"/>
                <c:pt idx="0">
                  <c:v>-13228.45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1-441E-9D47-666027136923}"/>
            </c:ext>
          </c:extLst>
        </c:ser>
        <c:ser>
          <c:idx val="1"/>
          <c:order val="1"/>
          <c:tx>
            <c:strRef>
              <c:f>Resumen!$C$6</c:f>
              <c:strCache>
                <c:ptCount val="1"/>
                <c:pt idx="0">
                  <c:v>jul-19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45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Resumen!$A$7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Resumen!$C$7</c:f>
              <c:numCache>
                <c:formatCode>"$"#,##0</c:formatCode>
                <c:ptCount val="1"/>
                <c:pt idx="0">
                  <c:v>28514.25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51-441E-9D47-666027136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41070624"/>
        <c:axId val="2141068448"/>
        <c:axId val="0"/>
      </c:bar3DChart>
      <c:catAx>
        <c:axId val="2141070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1068448"/>
        <c:crosses val="autoZero"/>
        <c:auto val="1"/>
        <c:lblAlgn val="ctr"/>
        <c:lblOffset val="100"/>
        <c:noMultiLvlLbl val="0"/>
      </c:catAx>
      <c:valAx>
        <c:axId val="21410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4107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617161716171618"/>
          <c:y val="0.24283525251649307"/>
          <c:w val="0.26916415255898818"/>
          <c:h val="0.299726109895288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340325742400405E-2"/>
          <c:y val="7.0343707309753506E-2"/>
          <c:w val="0.80533454325978149"/>
          <c:h val="0.78130609684067631"/>
        </c:manualLayout>
      </c:layout>
      <c:lineChart>
        <c:grouping val="standard"/>
        <c:varyColors val="0"/>
        <c:ser>
          <c:idx val="0"/>
          <c:order val="0"/>
          <c:tx>
            <c:strRef>
              <c:f>'Siniestros Nacional'!$A$4</c:f>
              <c:strCache>
                <c:ptCount val="1"/>
                <c:pt idx="0">
                  <c:v>2018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7"/>
              <c:spPr>
                <a:gradFill>
                  <a:gsLst>
                    <a:gs pos="86000">
                      <a:schemeClr val="tx2">
                        <a:lumMod val="40000"/>
                        <a:lumOff val="60000"/>
                        <a:alpha val="45000"/>
                      </a:schemeClr>
                    </a:gs>
                    <a:gs pos="90000">
                      <a:schemeClr val="accent1">
                        <a:lumMod val="45000"/>
                        <a:lumOff val="55000"/>
                      </a:schemeClr>
                    </a:gs>
                    <a:gs pos="21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</a:gradFill>
                <a:ln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9819-4564-BA53-AB4609A6A8AE}"/>
                </c:ext>
              </c:extLst>
            </c:dLbl>
            <c:spPr>
              <a:gradFill>
                <a:gsLst>
                  <a:gs pos="86000">
                    <a:schemeClr val="tx2">
                      <a:lumMod val="40000"/>
                      <a:lumOff val="60000"/>
                      <a:alpha val="45000"/>
                    </a:schemeClr>
                  </a:gs>
                  <a:gs pos="90000">
                    <a:schemeClr val="accent1">
                      <a:lumMod val="45000"/>
                      <a:lumOff val="55000"/>
                    </a:schemeClr>
                  </a:gs>
                  <a:gs pos="21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'Siniestros Nacional'!$B$3:$M$3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'Siniestros Nacional'!$B$4:$M$4</c:f>
              <c:numCache>
                <c:formatCode>#,##0</c:formatCode>
                <c:ptCount val="12"/>
                <c:pt idx="0">
                  <c:v>22</c:v>
                </c:pt>
                <c:pt idx="1">
                  <c:v>19</c:v>
                </c:pt>
                <c:pt idx="2">
                  <c:v>24</c:v>
                </c:pt>
                <c:pt idx="3">
                  <c:v>19</c:v>
                </c:pt>
                <c:pt idx="4">
                  <c:v>21</c:v>
                </c:pt>
                <c:pt idx="5">
                  <c:v>26</c:v>
                </c:pt>
                <c:pt idx="6">
                  <c:v>17</c:v>
                </c:pt>
                <c:pt idx="7">
                  <c:v>24</c:v>
                </c:pt>
                <c:pt idx="8">
                  <c:v>20</c:v>
                </c:pt>
                <c:pt idx="9">
                  <c:v>33</c:v>
                </c:pt>
                <c:pt idx="10">
                  <c:v>28</c:v>
                </c:pt>
                <c:pt idx="1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9-4564-BA53-AB4609A6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064640"/>
        <c:axId val="2093145936"/>
      </c:lineChart>
      <c:lineChart>
        <c:grouping val="standard"/>
        <c:varyColors val="0"/>
        <c:ser>
          <c:idx val="1"/>
          <c:order val="1"/>
          <c:tx>
            <c:strRef>
              <c:f>'Siniestros Nacional'!$A$5</c:f>
              <c:strCache>
                <c:ptCount val="1"/>
                <c:pt idx="0">
                  <c:v>2019</c:v>
                </c:pt>
              </c:strCache>
            </c:strRef>
          </c:tx>
          <c:spPr>
            <a:ln w="38100" cap="rnd">
              <a:solidFill>
                <a:srgbClr val="00CC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gradFill flip="none" rotWithShape="1">
                <a:gsLst>
                  <a:gs pos="61000">
                    <a:srgbClr val="D4E2B8">
                      <a:alpha val="4000"/>
                    </a:srgbClr>
                  </a:gs>
                  <a:gs pos="0">
                    <a:schemeClr val="accent3">
                      <a:lumMod val="0"/>
                      <a:lumOff val="100000"/>
                    </a:schemeClr>
                  </a:gs>
                  <a:gs pos="35000">
                    <a:schemeClr val="accent3">
                      <a:lumMod val="0"/>
                      <a:lumOff val="100000"/>
                    </a:schemeClr>
                  </a:gs>
                  <a:gs pos="100000">
                    <a:schemeClr val="accent3">
                      <a:lumMod val="100000"/>
                    </a:schemeClr>
                  </a:gs>
                </a:gsLst>
                <a:path path="circle">
                  <a:fillToRect l="50000" t="-80000" r="50000" b="180000"/>
                </a:path>
                <a:tileRect/>
              </a:gradFill>
              <a:ln>
                <a:solidFill>
                  <a:srgbClr val="00CC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'Siniestros Nacional'!$B$3:$M$3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'Siniestros Nacional'!$B$5:$M$5</c:f>
              <c:numCache>
                <c:formatCode>#,##0</c:formatCode>
                <c:ptCount val="12"/>
                <c:pt idx="0">
                  <c:v>26</c:v>
                </c:pt>
                <c:pt idx="1">
                  <c:v>22</c:v>
                </c:pt>
                <c:pt idx="2">
                  <c:v>24</c:v>
                </c:pt>
                <c:pt idx="3">
                  <c:v>21</c:v>
                </c:pt>
                <c:pt idx="4">
                  <c:v>25</c:v>
                </c:pt>
                <c:pt idx="5">
                  <c:v>28</c:v>
                </c:pt>
                <c:pt idx="6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19-4564-BA53-AB4609A6A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144848"/>
        <c:axId val="2093149200"/>
      </c:lineChart>
      <c:catAx>
        <c:axId val="214106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3145936"/>
        <c:crosses val="autoZero"/>
        <c:auto val="1"/>
        <c:lblAlgn val="ctr"/>
        <c:lblOffset val="100"/>
        <c:noMultiLvlLbl val="0"/>
      </c:catAx>
      <c:valAx>
        <c:axId val="209314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41064640"/>
        <c:crosses val="autoZero"/>
        <c:crossBetween val="between"/>
        <c:majorUnit val="10"/>
      </c:valAx>
      <c:valAx>
        <c:axId val="2093149200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093144848"/>
        <c:crosses val="max"/>
        <c:crossBetween val="between"/>
      </c:valAx>
      <c:catAx>
        <c:axId val="2093144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314920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233365310046207"/>
          <c:y val="0.32565970568184088"/>
          <c:w val="0.1003677695154601"/>
          <c:h val="0.38490699511941878"/>
        </c:manualLayout>
      </c:layout>
      <c:overlay val="0"/>
      <c:spPr>
        <a:solidFill>
          <a:schemeClr val="bg1">
            <a:lumMod val="9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MX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accent6">
        <a:lumMod val="75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101711645018733E-2"/>
          <c:y val="5.9166284789309583E-2"/>
          <c:w val="0.79463902909572204"/>
          <c:h val="0.81605595936203756"/>
        </c:manualLayout>
      </c:layout>
      <c:lineChart>
        <c:grouping val="standard"/>
        <c:varyColors val="0"/>
        <c:ser>
          <c:idx val="0"/>
          <c:order val="0"/>
          <c:tx>
            <c:v>2018</c:v>
          </c:tx>
          <c:spPr>
            <a:ln w="57150" cap="rnd">
              <a:solidFill>
                <a:srgbClr val="F4069F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23931623931637E-2"/>
                  <c:y val="5.32361035465041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A1-445C-99C9-CA874BDAE0F7}"/>
                </c:ext>
              </c:extLst>
            </c:dLbl>
            <c:dLbl>
              <c:idx val="4"/>
              <c:layout>
                <c:manualLayout>
                  <c:x val="-2.2529914529914489E-2"/>
                  <c:y val="8.0129869359826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A1-445C-99C9-CA874BDAE0F7}"/>
                </c:ext>
              </c:extLst>
            </c:dLbl>
            <c:dLbl>
              <c:idx val="5"/>
              <c:layout>
                <c:manualLayout>
                  <c:x val="-2.5470534131951453E-3"/>
                  <c:y val="2.63423377331816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A1-445C-99C9-CA874BDAE0F7}"/>
                </c:ext>
              </c:extLst>
            </c:dLbl>
            <c:spPr>
              <a:solidFill>
                <a:schemeClr val="accent2">
                  <a:lumMod val="20000"/>
                  <a:lumOff val="80000"/>
                  <a:alpha val="68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'Siniestros Nacional'!$B$26:$M$26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'Siniestros Nacional'!$B$27:$M$27</c:f>
              <c:numCache>
                <c:formatCode>_-"$"* #,##0_-;\-"$"* #,##0_-;_-"$"* "-"??_-;_-@_-</c:formatCode>
                <c:ptCount val="12"/>
                <c:pt idx="0">
                  <c:v>160.42923999999999</c:v>
                </c:pt>
                <c:pt idx="1">
                  <c:v>397.78008</c:v>
                </c:pt>
                <c:pt idx="2">
                  <c:v>1413.7962299999999</c:v>
                </c:pt>
                <c:pt idx="3">
                  <c:v>364.11434000000003</c:v>
                </c:pt>
                <c:pt idx="4">
                  <c:v>227.37404000000001</c:v>
                </c:pt>
                <c:pt idx="5">
                  <c:v>91.448189999999997</c:v>
                </c:pt>
                <c:pt idx="6">
                  <c:v>316.77327000000002</c:v>
                </c:pt>
                <c:pt idx="7">
                  <c:v>203.96657999999999</c:v>
                </c:pt>
                <c:pt idx="8">
                  <c:v>32.230260000000001</c:v>
                </c:pt>
                <c:pt idx="9">
                  <c:v>437.72237999999999</c:v>
                </c:pt>
                <c:pt idx="10">
                  <c:v>210.07429000000002</c:v>
                </c:pt>
                <c:pt idx="11">
                  <c:v>460.71546999999998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A1-445C-99C9-CA874BDAE0F7}"/>
            </c:ext>
          </c:extLst>
        </c:ser>
        <c:ser>
          <c:idx val="1"/>
          <c:order val="1"/>
          <c:tx>
            <c:v>2019</c:v>
          </c:tx>
          <c:spPr>
            <a:ln w="571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57150">
                <a:solidFill>
                  <a:srgbClr val="FFC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6205128205128202E-2"/>
                  <c:y val="-6.3993609871833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A1-445C-99C9-CA874BDAE0F7}"/>
                </c:ext>
              </c:extLst>
            </c:dLbl>
            <c:dLbl>
              <c:idx val="4"/>
              <c:layout>
                <c:manualLayout>
                  <c:x val="-2.025071225071225E-2"/>
                  <c:y val="-6.3993609871833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A1-445C-99C9-CA874BDAE0F7}"/>
                </c:ext>
              </c:extLst>
            </c:dLbl>
            <c:dLbl>
              <c:idx val="5"/>
              <c:layout>
                <c:manualLayout>
                  <c:x val="-2.139031339031339E-2"/>
                  <c:y val="-5.86148567091686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A1-445C-99C9-CA874BDAE0F7}"/>
                </c:ext>
              </c:extLst>
            </c:dLbl>
            <c:spPr>
              <a:solidFill>
                <a:srgbClr val="FFFF66">
                  <a:alpha val="40000"/>
                </a:srgbClr>
              </a:solidFill>
              <a:ln>
                <a:solidFill>
                  <a:srgbClr val="FFC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'Siniestros Nacional'!$B$26:$M$26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Mzo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'Siniestros Nacional'!$B$28:$M$28</c:f>
              <c:numCache>
                <c:formatCode>_-"$"* #,##0_-;\-"$"* #,##0_-;_-"$"* "-"??_-;_-@_-</c:formatCode>
                <c:ptCount val="12"/>
                <c:pt idx="0">
                  <c:v>264.03471999999999</c:v>
                </c:pt>
                <c:pt idx="1">
                  <c:v>179.99029000000002</c:v>
                </c:pt>
                <c:pt idx="2">
                  <c:v>269.69682</c:v>
                </c:pt>
                <c:pt idx="3">
                  <c:v>202</c:v>
                </c:pt>
                <c:pt idx="4">
                  <c:v>306</c:v>
                </c:pt>
                <c:pt idx="5">
                  <c:v>136</c:v>
                </c:pt>
                <c:pt idx="6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AA1-445C-99C9-CA874BDAE0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5018448"/>
        <c:axId val="205021712"/>
      </c:lineChart>
      <c:catAx>
        <c:axId val="205018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021712"/>
        <c:crosses val="autoZero"/>
        <c:auto val="1"/>
        <c:lblAlgn val="ctr"/>
        <c:lblOffset val="100"/>
        <c:noMultiLvlLbl val="0"/>
      </c:catAx>
      <c:valAx>
        <c:axId val="20502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5018448"/>
        <c:crosses val="autoZero"/>
        <c:crossBetween val="between"/>
        <c:majorUnit val="5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892877492877497"/>
          <c:y val="0.34468786714225574"/>
          <c:w val="9.3720797720797722E-2"/>
          <c:h val="0.34827553785414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419100</xdr:colOff>
      <xdr:row>3</xdr:row>
      <xdr:rowOff>0</xdr:rowOff>
    </xdr:to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811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369570</xdr:colOff>
      <xdr:row>2</xdr:row>
      <xdr:rowOff>148590</xdr:rowOff>
    </xdr:to>
    <xdr:pic>
      <xdr:nvPicPr>
        <xdr:cNvPr id="3" name="Picture 1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157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371475</xdr:colOff>
      <xdr:row>3</xdr:row>
      <xdr:rowOff>0</xdr:rowOff>
    </xdr:to>
    <xdr:pic>
      <xdr:nvPicPr>
        <xdr:cNvPr id="4" name="Picture 1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34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419100</xdr:colOff>
      <xdr:row>3</xdr:row>
      <xdr:rowOff>0</xdr:rowOff>
    </xdr:to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811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369570</xdr:colOff>
      <xdr:row>2</xdr:row>
      <xdr:rowOff>148590</xdr:rowOff>
    </xdr:to>
    <xdr:pic>
      <xdr:nvPicPr>
        <xdr:cNvPr id="3" name="Picture 1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157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371475</xdr:colOff>
      <xdr:row>3</xdr:row>
      <xdr:rowOff>0</xdr:rowOff>
    </xdr:to>
    <xdr:pic>
      <xdr:nvPicPr>
        <xdr:cNvPr id="4" name="Picture 1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334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</xdr:colOff>
      <xdr:row>22</xdr:row>
      <xdr:rowOff>0</xdr:rowOff>
    </xdr:from>
    <xdr:to>
      <xdr:col>6</xdr:col>
      <xdr:colOff>390525</xdr:colOff>
      <xdr:row>31</xdr:row>
      <xdr:rowOff>9524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CAUSA 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US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36398" y="3541568"/>
              <a:ext cx="1823604" cy="1490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600075</xdr:colOff>
      <xdr:row>31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TIPO DE SERVICIO 1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541568"/>
              <a:ext cx="1829666" cy="14807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628650</xdr:colOff>
      <xdr:row>22</xdr:row>
      <xdr:rowOff>0</xdr:rowOff>
    </xdr:from>
    <xdr:to>
      <xdr:col>4</xdr:col>
      <xdr:colOff>85725</xdr:colOff>
      <xdr:row>31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IUDAD 1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8241" y="3541568"/>
              <a:ext cx="1821007" cy="14807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428625</xdr:colOff>
      <xdr:row>22</xdr:row>
      <xdr:rowOff>0</xdr:rowOff>
    </xdr:from>
    <xdr:to>
      <xdr:col>8</xdr:col>
      <xdr:colOff>511752</xdr:colOff>
      <xdr:row>31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Nombre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8102" y="3541568"/>
              <a:ext cx="1823605" cy="14902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</xdr:row>
      <xdr:rowOff>4761</xdr:rowOff>
    </xdr:from>
    <xdr:to>
      <xdr:col>4</xdr:col>
      <xdr:colOff>228600</xdr:colOff>
      <xdr:row>20</xdr:row>
      <xdr:rowOff>66674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8</xdr:row>
      <xdr:rowOff>4763</xdr:rowOff>
    </xdr:from>
    <xdr:to>
      <xdr:col>9</xdr:col>
      <xdr:colOff>9525</xdr:colOff>
      <xdr:row>20</xdr:row>
      <xdr:rowOff>76201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809625</xdr:colOff>
          <xdr:row>22</xdr:row>
          <xdr:rowOff>47625</xdr:rowOff>
        </xdr:from>
        <xdr:to>
          <xdr:col>10</xdr:col>
          <xdr:colOff>123825</xdr:colOff>
          <xdr:row>24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257175</xdr:colOff>
      <xdr:row>0</xdr:row>
      <xdr:rowOff>0</xdr:rowOff>
    </xdr:from>
    <xdr:to>
      <xdr:col>5</xdr:col>
      <xdr:colOff>466725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USA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U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8325" y="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1333500</xdr:colOff>
      <xdr:row>0</xdr:row>
      <xdr:rowOff>0</xdr:rowOff>
    </xdr:from>
    <xdr:to>
      <xdr:col>3</xdr:col>
      <xdr:colOff>200025</xdr:colOff>
      <xdr:row>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BERTURA AFECTADA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BERTURA AFECT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2375" y="0"/>
              <a:ext cx="1828800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1828800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SERVICIO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1876425</xdr:colOff>
      <xdr:row>0</xdr:row>
      <xdr:rowOff>0</xdr:rowOff>
    </xdr:from>
    <xdr:to>
      <xdr:col>1</xdr:col>
      <xdr:colOff>1276350</xdr:colOff>
      <xdr:row>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IUDAD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5" y="0"/>
              <a:ext cx="1828800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5</xdr:row>
          <xdr:rowOff>114300</xdr:rowOff>
        </xdr:from>
        <xdr:to>
          <xdr:col>7</xdr:col>
          <xdr:colOff>161925</xdr:colOff>
          <xdr:row>7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257175</xdr:colOff>
      <xdr:row>0</xdr:row>
      <xdr:rowOff>0</xdr:rowOff>
    </xdr:from>
    <xdr:to>
      <xdr:col>5</xdr:col>
      <xdr:colOff>466725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USA 2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US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8325" y="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1333500</xdr:colOff>
      <xdr:row>0</xdr:row>
      <xdr:rowOff>0</xdr:rowOff>
    </xdr:from>
    <xdr:to>
      <xdr:col>3</xdr:col>
      <xdr:colOff>200025</xdr:colOff>
      <xdr:row>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BERTURA AFECTAD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BERTURA AFECTAD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2375" y="0"/>
              <a:ext cx="1828800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1828800</xdr:colOff>
      <xdr:row>8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E SERVICIO 2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SERVICI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1876425</xdr:colOff>
      <xdr:row>0</xdr:row>
      <xdr:rowOff>0</xdr:rowOff>
    </xdr:from>
    <xdr:to>
      <xdr:col>1</xdr:col>
      <xdr:colOff>1276350</xdr:colOff>
      <xdr:row>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IUDAD 2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UDA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5" y="0"/>
              <a:ext cx="1828800" cy="1285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723900</xdr:colOff>
          <xdr:row>5</xdr:row>
          <xdr:rowOff>123825</xdr:rowOff>
        </xdr:from>
        <xdr:to>
          <xdr:col>7</xdr:col>
          <xdr:colOff>19050</xdr:colOff>
          <xdr:row>7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Filtro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129645</xdr:rowOff>
    </xdr:from>
    <xdr:to>
      <xdr:col>15</xdr:col>
      <xdr:colOff>0</xdr:colOff>
      <xdr:row>22</xdr:row>
      <xdr:rowOff>10583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115358</xdr:rowOff>
    </xdr:from>
    <xdr:to>
      <xdr:col>14</xdr:col>
      <xdr:colOff>1058333</xdr:colOff>
      <xdr:row>45</xdr:row>
      <xdr:rowOff>63500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zbeth Alejandra Morales Morales" refreshedDate="43699.634330787034" createdVersion="5" refreshedVersion="5" minRefreshableVersion="3" recordCount="12" xr:uid="{00000000-000A-0000-FFFF-FFFF09000000}">
  <cacheSource type="worksheet">
    <worksheetSource ref="A1:AW13" sheet="Detalle Siniestros"/>
  </cacheSource>
  <cacheFields count="49">
    <cacheField name="POLIZA" numFmtId="1">
      <sharedItems/>
    </cacheField>
    <cacheField name="MODULO" numFmtId="1">
      <sharedItems/>
    </cacheField>
    <cacheField name="AGENTE" numFmtId="1">
      <sharedItems/>
    </cacheField>
    <cacheField name="EMITIDA" numFmtId="2">
      <sharedItems containsSemiMixedTypes="0" containsString="0" containsNumber="1" minValue="-4236.6099999999997" maxValue="9607.0499999999993"/>
    </cacheField>
    <cacheField name="DEVENGADA E" numFmtId="44">
      <sharedItems containsSemiMixedTypes="0" containsString="0" containsNumber="1" minValue="393.87" maxValue="3371.71"/>
    </cacheField>
    <cacheField name="PAGADA" numFmtId="44">
      <sharedItems containsSemiMixedTypes="0" containsString="0" containsNumber="1" containsInteger="1" minValue="0" maxValue="0"/>
    </cacheField>
    <cacheField name="DEVENGADA P" numFmtId="44">
      <sharedItems containsSemiMixedTypes="0" containsString="0" containsNumber="1" minValue="0" maxValue="1420.16"/>
    </cacheField>
    <cacheField name="PAGOS" numFmtId="44">
      <sharedItems containsSemiMixedTypes="0" containsString="0" containsNumber="1" minValue="0" maxValue="64606.43"/>
    </cacheField>
    <cacheField name="GASTOS" numFmtId="44">
      <sharedItems containsSemiMixedTypes="0" containsString="0" containsNumber="1" minValue="-1305.45" maxValue="39897.410000000003"/>
    </cacheField>
    <cacheField name="SALVAMENTOS" numFmtId="44">
      <sharedItems containsSemiMixedTypes="0" containsString="0" containsNumber="1" containsInteger="1" minValue="0" maxValue="0"/>
    </cacheField>
    <cacheField name="INGRESOS" numFmtId="44">
      <sharedItems containsSemiMixedTypes="0" containsString="0" containsNumber="1" containsInteger="1" minValue="-15658" maxValue="0"/>
    </cacheField>
    <cacheField name="RVA. SALVAMENTOS" numFmtId="44">
      <sharedItems containsSemiMixedTypes="0" containsString="0" containsNumber="1" containsInteger="1" minValue="0" maxValue="0"/>
    </cacheField>
    <cacheField name="RESERVA" numFmtId="44">
      <sharedItems containsSemiMixedTypes="0" containsString="0" containsNumber="1" minValue="0" maxValue="117990"/>
    </cacheField>
    <cacheField name="SINIESTRO TOTAL" numFmtId="44">
      <sharedItems containsSemiMixedTypes="0" containsString="0" containsNumber="1" minValue="-13228.45" maxValue="135688.5"/>
    </cacheField>
    <cacheField name="DM_PAGOS" numFmtId="44">
      <sharedItems containsSemiMixedTypes="0" containsString="0" containsNumber="1" minValue="0" maxValue="48306.68"/>
    </cacheField>
    <cacheField name="GM_PAGOS" numFmtId="44">
      <sharedItems containsSemiMixedTypes="0" containsString="0" containsNumber="1" minValue="0" maxValue="16299.75"/>
    </cacheField>
    <cacheField name="RT_PAGOS" numFmtId="44">
      <sharedItems containsSemiMixedTypes="0" containsString="0" containsNumber="1" containsInteger="1" minValue="0" maxValue="0"/>
    </cacheField>
    <cacheField name="RC_PAGOS" numFmtId="44">
      <sharedItems containsSemiMixedTypes="0" containsString="0" containsNumber="1" containsInteger="1" minValue="0" maxValue="18217"/>
    </cacheField>
    <cacheField name="OT_PAGOS" numFmtId="44">
      <sharedItems containsSemiMixedTypes="0" containsString="0" containsNumber="1" containsInteger="1" minValue="0" maxValue="0"/>
    </cacheField>
    <cacheField name="FECHA DE SINIESTRO" numFmtId="1">
      <sharedItems/>
    </cacheField>
    <cacheField name="CONTRATANTE" numFmtId="1">
      <sharedItems/>
    </cacheField>
    <cacheField name="NO. DE SERIE" numFmtId="1">
      <sharedItems/>
    </cacheField>
    <cacheField name="INICIO DE VIGENCIA" numFmtId="1">
      <sharedItems containsSemiMixedTypes="0" containsString="0" containsNumber="1" containsInteger="1" minValue="20181231" maxValue="20190227"/>
    </cacheField>
    <cacheField name="FECHA DE TERMINO" numFmtId="1">
      <sharedItems containsSemiMixedTypes="0" containsString="0" containsNumber="1" containsInteger="1" minValue="20191230" maxValue="20191230"/>
    </cacheField>
    <cacheField name="CARATULA" numFmtId="1">
      <sharedItems containsNonDate="0" containsString="0" containsBlank="1"/>
    </cacheField>
    <cacheField name="CONTRATO" numFmtId="1">
      <sharedItems/>
    </cacheField>
    <cacheField name="STATUS POLIZA" numFmtId="1">
      <sharedItems/>
    </cacheField>
    <cacheField name="POLIZA PADRE" numFmtId="1">
      <sharedItems/>
    </cacheField>
    <cacheField name="ESTADO DE CIRCULACIÓN" numFmtId="1">
      <sharedItems/>
    </cacheField>
    <cacheField name="MODELO" numFmtId="1">
      <sharedItems containsSemiMixedTypes="0" containsString="0" containsNumber="1" containsInteger="1" minValue="2016" maxValue="2019"/>
    </cacheField>
    <cacheField name="USO" numFmtId="1">
      <sharedItems/>
    </cacheField>
    <cacheField name="DESCRIPCIÓN DEL VEHICULO" numFmtId="1">
      <sharedItems/>
    </cacheField>
    <cacheField name="SINIESTRO" numFmtId="1">
      <sharedItems/>
    </cacheField>
    <cacheField name="NOMBRE DEL CONDUCTOR" numFmtId="1">
      <sharedItems containsBlank="1"/>
    </cacheField>
    <cacheField name="STATUS DE SINIESTROS" numFmtId="1">
      <sharedItems/>
    </cacheField>
    <cacheField name="DESCRIPCIÓN DE SINIESTRO" numFmtId="1">
      <sharedItems/>
    </cacheField>
    <cacheField name="ESTADO DE OCURRENCIA" numFmtId="1">
      <sharedItems/>
    </cacheField>
    <cacheField name="CAUSA" numFmtId="1">
      <sharedItems count="5">
        <s v="COLISION"/>
        <s v="CRISTALES"/>
        <s v="INCENDIO"/>
        <s v="VUELCO" u="1"/>
        <s v="ATROPELLO" u="1"/>
      </sharedItems>
    </cacheField>
    <cacheField name="HORA DE OCURRENCIA" numFmtId="1">
      <sharedItems/>
    </cacheField>
    <cacheField name="LUGAR_OCU" numFmtId="1">
      <sharedItems containsNonDate="0" containsString="0" containsBlank="1"/>
    </cacheField>
    <cacheField name="FECHA DE REPORTE" numFmtId="14">
      <sharedItems containsSemiMixedTypes="0" containsNonDate="0" containsDate="1" containsString="0" minDate="2019-02-22T00:00:00" maxDate="2019-07-25T00:00:00"/>
    </cacheField>
    <cacheField name="COBERTURA AFECTADA" numFmtId="1">
      <sharedItems count="3">
        <s v="PP"/>
        <s v="DM"/>
        <s v="DMGM" u="1"/>
      </sharedItems>
    </cacheField>
    <cacheField name="OFICINA" numFmtId="1">
      <sharedItems containsSemiMixedTypes="0" containsString="0" containsNumber="1" containsInteger="1" minValue="33" maxValue="33"/>
    </cacheField>
    <cacheField name="RESPONSABLE" numFmtId="0">
      <sharedItems containsNonDate="0" containsString="0" containsBlank="1"/>
    </cacheField>
    <cacheField name="MES SINIESTRO" numFmtId="17">
      <sharedItems containsSemiMixedTypes="0" containsNonDate="0" containsDate="1" containsString="0" minDate="2019-01-01T00:00:00" maxDate="2019-07-02T00:00:00" count="7">
        <d v="2019-02-01T00:00:00"/>
        <d v="2019-03-01T00:00:00"/>
        <d v="2019-04-01T00:00:00"/>
        <d v="2019-05-01T00:00:00"/>
        <d v="2019-06-01T00:00:00"/>
        <d v="2019-07-01T00:00:00"/>
        <d v="2019-01-01T00:00:00" u="1"/>
      </sharedItems>
    </cacheField>
    <cacheField name="TIPO DE SERVICIO" numFmtId="0">
      <sharedItems count="17">
        <s v="Agente Empleado"/>
        <s v="AVES"/>
        <s v="Pool Administrativo" u="1"/>
        <s v="Ajuste pool" u="1"/>
        <s v="Gerente Ajustes" u="1"/>
        <s v="Servicio de Medico" u="1"/>
        <s v="Pool Ajustes" u="1"/>
        <s v="Dirección General" u="1"/>
        <s v="Supervisor equipo pesado" u="1"/>
        <e v="#N/A" u="1"/>
        <s v="Gerente de Robos" u="1"/>
        <s v="Pool" u="1"/>
        <s v="Supervisor de Taller" u="1"/>
        <s v="Asesor de Servicio" u="1"/>
        <s v="Auxilio Vial" u="1"/>
        <s v="Sindicato" u="1"/>
        <s v="Supervisor Ajustes" u="1"/>
      </sharedItems>
    </cacheField>
    <cacheField name="CIUDAD" numFmtId="0">
      <sharedItems count="30">
        <s v="Toluca"/>
        <s v="Monterrey"/>
        <s v="Veracruz"/>
        <s v="Culiacán"/>
        <s v="Ciudad de México"/>
        <s v="Acapulco"/>
        <s v="Durango"/>
        <s v="Chihuahua"/>
        <s v="Cuernavaca" u="1"/>
        <s v="Mexicali" u="1"/>
        <s v="Tepic" u="1"/>
        <s v="Tijuana" u="1"/>
        <s v="Morelia" u="1"/>
        <s v="Colima" u="1"/>
        <s v="Mazatlán" u="1"/>
        <s v="León" u="1"/>
        <s v="Cancún" u="1"/>
        <s v="Villahermosa" u="1"/>
        <s v="Reynosa" u="1"/>
        <s v="Los Cabos" u="1"/>
        <s v="Puebla" u="1"/>
        <e v="#N/A" u="1"/>
        <s v="Torreón" u="1"/>
        <s v="Ciudad Juárez" u="1"/>
        <s v="Mérida" u="1"/>
        <s v="San Luis Potosí" u="1"/>
        <s v="Hermosillo" u="1"/>
        <s v="Oaxaca" u="1"/>
        <s v="Pachuca" u="1"/>
        <s v="Guadalajara" u="1"/>
      </sharedItems>
    </cacheField>
    <cacheField name="ECO." numFmtId="0">
      <sharedItems/>
    </cacheField>
    <cacheField name="Nombre" numFmtId="0">
      <sharedItems count="121">
        <s v="Gutiérrez Campos Wilfrido Gerardo"/>
        <s v="Rivera Torres Daniela Jazmín"/>
        <s v="José de Jesús Diaz Suárez"/>
        <s v="Delgado Espinosa Manuel"/>
        <s v="Cornejo Peralta Patricia"/>
        <s v="-"/>
        <s v="Cárdenas Aceval Ulises"/>
        <s v="Ramírez Aguirre Jonathan Jovany"/>
        <s v="Mario Pulido"/>
        <s v="ANDRES ARGUELLO GUZMAN" u="1"/>
        <s v="EDGAR CARVAJAL CRUZ" u="1"/>
        <s v="Martinez Morales Edgar Rolando" u="1"/>
        <s v="Rivera Lopez Benito" u="1"/>
        <s v="Rodríguez Cruz José Carlos" u="1"/>
        <s v="Ruíz Barríos Argelia Selene" u="1"/>
        <s v="Bernal Rico Noe Israel" u="1"/>
        <s v="Castillo Flores Héctor Guillermo" u="1"/>
        <s v="José Eduardo Toledo Hernández" u="1"/>
        <s v="Jiménez Maya Juan Carlos" u="1"/>
        <s v="Mendoza Urbina Juan Alberto" u="1"/>
        <s v="Ramirez Enriquez Héctor" u="1"/>
        <s v="Magallon Valencia José Luis" u="1"/>
        <e v="#N/A" u="1"/>
        <s v="Villa Lara Ricardo" u="1"/>
        <s v="Salinas Davila Sergio Guadalupe" u="1"/>
        <s v="Domínguez Nevarez Juan Noe" u="1"/>
        <s v="Correa Puerta José Antonio" u="1"/>
        <s v="Cervantes Guízar Marco Antonio" u="1"/>
        <s v="Franco Cabrera Jesus Antonio" u="1"/>
        <s v="San Agustín Montoya Jorge Fernando" u="1"/>
        <s v="Olmedo Calderon Victor Daniel" u="1"/>
        <s v="Suarez Diaz Hugo Donaldo" u="1"/>
        <s v="Barrios Díaz Héctor" u="1"/>
        <s v="Arellano Berlanga Gustavo Alonso" u="1"/>
        <s v="Rosete Sanchez Javier" u="1"/>
        <s v="Villasana Garza Eduardo Alexander" u="1"/>
        <s v="Espinosa Patron Jafet Iguasu" u="1"/>
        <s v="Córdova Valenzuela Asunción" u="1"/>
        <s v="Martinez Ortiz Brandon Jahziel" u="1"/>
        <s v="Cardenas Echeverria David" u="1"/>
        <s v="Rivera Moreno David" u="1"/>
        <s v="Jaimes Bobadilla Felipe Roberto" u="1"/>
        <s v="Ortiz Nava Juan Carlos" u="1"/>
        <s v="Carrasco Herrera Gerardo" u="1"/>
        <s v="Garcia Rubio Erick" u="1"/>
        <s v="Ayala Lara Manuel" u="1"/>
        <s v="Benitez Baltazar Mauro" u="1"/>
        <s v="Olvera Zamora Francisco" u="1"/>
        <s v="Sanchez Y Sanchez Alejandro" u="1"/>
        <s v="Ochoa Castañeda Carlos" u="1"/>
        <s v="Ramírez Díaz Rafael" u="1"/>
        <s v="Santillán Rivera Adan" u="1"/>
        <s v="Hernandez Cordero Marco Antonio" u="1"/>
        <s v="Montañez Espinosa Mario Alberto" u="1"/>
        <s v="Ortíz Fonseca Cesar Manuel" u="1"/>
        <s v="Mejía González Nurivan Misael" u="1"/>
        <s v="Romero Alvarado Guillermo" u="1"/>
        <s v="Barro Soto Héctor Alfredo" u="1"/>
        <s v="Perez Martinez Aldo" u="1"/>
        <s v="Resendiz Altamirano Fernando" u="1"/>
        <s v="Yeverino Gonzalez Ivan" u="1"/>
        <s v="Salinas Urbano José Luis" u="1"/>
        <s v="Plascencia Martínez J Jesus" u="1"/>
        <s v="Zazueta Sosa Esteban Luciano" u="1"/>
        <s v="López Pérez José Luis" u="1"/>
        <s v="Leyva Hernández Marcos Joel" u="1"/>
        <s v="Poblano Sandoval Alejandro" u="1"/>
        <s v="Vázquez Ramos Isaac Erick" u="1"/>
        <s v="Hernandez Rodriguez Fernando" u="1"/>
        <s v="Barragán Contreras Cesar Gerardo" u="1"/>
        <s v="Montiel Medina Alexandro" u="1"/>
        <s v="Felipe de Jesús Ceron Esquivel" u="1"/>
        <s v="Silva Mendoza Oscar Alejandro" u="1"/>
        <s v="Barrera Arévalo Victor Hugo" u="1"/>
        <s v="Moreno Flores Jayro Rodrigo" u="1"/>
        <s v="Pérez Galván Clemente" u="1"/>
        <s v="Saltijeral Toledo Laura Daniela" u="1"/>
        <s v="Robles Castañeda J. Jesús" u="1"/>
        <s v="Arroyo Castro Hugo Wilfrido" u="1"/>
        <s v="Palestina Feregrino Néstor Lubin" u="1"/>
        <s v="Crisantos Ocampo Alan" u="1"/>
        <s v="G.N.P. ARRENDAMIENTO " u="1"/>
        <s v="Sanchez Rosales German" u="1"/>
        <s v="Sanchez Perez Alejandro" u="1"/>
        <s v="ZABDIEL ALBERTO ORTEGON GALVAN" u="1"/>
        <s v="Arias Malagón Victor Alfonso" u="1"/>
        <s v="Escobedo Lezama José Eduardo" u="1"/>
        <s v="Nava Galicia José Ángel" u="1"/>
        <s v="Ruíz Zarate Francisco Javier" u="1"/>
        <s v="Pinto Córdova Javier Ricardo" u="1"/>
        <s v="Ovando Madrid Julio Alberto" u="1"/>
        <s v="Rodriguez Herrera Valentín Arturo" u="1"/>
        <s v="JESUS DIAZ SUAREZ" u="1"/>
        <s v="Gurrola Cruz Benjamín" u="1"/>
        <s v="Rojo Ortiz Marvin" u="1"/>
        <s v="Gonzalez Ontiveros José Luis" u="1"/>
        <s v="Contreras Oropeza Esteban Daniel" u="1"/>
        <s v="Secalde Pérez Alberto" u="1"/>
        <s v="Chavarría Gómez David Alejandro" u="1"/>
        <s v="Ríos Montaño Edgar Mauricio" u="1"/>
        <s v="Rosales Ramirez Noe" u="1"/>
        <s v="Delgado Castillo José Daniel" u="1"/>
        <s v="Andres Arguello Guzaman" u="1"/>
        <s v="Jose de Jesus Martinez Paniagua" u="1"/>
        <s v="Mendoza Gaytan Juan Carlos" u="1"/>
        <s v="ENRIQUE GARDU#O JUSTO" u="1"/>
        <s v="Trejo Suárez Rafael" u="1"/>
        <s v="Ortega Constantino Javier" u="1"/>
        <s v="Escalante Serrano Larry Carlos" u="1"/>
        <s v="Ordoñez Martínez Alonso" u="1"/>
        <s v="Rodriguez Gómez Antonio Izanami" u="1"/>
        <s v="Garcia Garcia José De Jesús" u="1"/>
        <s v="Carmona Ortega Francisco Salomon" u="1"/>
        <s v="Aguilar Arias Armando" u="1"/>
        <s v="Gonzalez Limon Alejandro" u="1"/>
        <s v="Márquez Sepúlveda Gerardo Ivan" u="1"/>
        <s v="Esparza Serrano Saúl Alfredo" u="1"/>
        <s v="Mota Villa Valentino" u="1"/>
        <s v="Mata Lozano Gerardo" u="1"/>
        <s v="Salazar Hernández Alejandro" u="1"/>
        <s v="Barranca Ramírez Emmanuel Christian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zbeth Alejandra Morales Morales" refreshedDate="43699.63433148148" createdVersion="5" refreshedVersion="5" minRefreshableVersion="3" recordCount="284" xr:uid="{00000000-000A-0000-FFFF-FFFF11000000}">
  <cacheSource type="worksheet">
    <worksheetSource ref="A1:AX285" sheet="Detalle Siniestros"/>
  </cacheSource>
  <cacheFields count="50">
    <cacheField name="POLIZA" numFmtId="1">
      <sharedItems/>
    </cacheField>
    <cacheField name="MODULO" numFmtId="1">
      <sharedItems/>
    </cacheField>
    <cacheField name="AGENTE" numFmtId="1">
      <sharedItems/>
    </cacheField>
    <cacheField name="EMITIDA" numFmtId="2">
      <sharedItems containsSemiMixedTypes="0" containsString="0" containsNumber="1" minValue="-30081.43" maxValue="18916.13"/>
    </cacheField>
    <cacheField name="DEVENGADA E" numFmtId="44">
      <sharedItems containsSemiMixedTypes="0" containsString="0" containsNumber="1" minValue="-2561.88" maxValue="19244.439999999999"/>
    </cacheField>
    <cacheField name="PAGADA" numFmtId="44">
      <sharedItems containsSemiMixedTypes="0" containsString="0" containsNumber="1" minValue="0" maxValue="37969.089999999997"/>
    </cacheField>
    <cacheField name="DEVENGADA P" numFmtId="44">
      <sharedItems containsSemiMixedTypes="0" containsString="0" containsNumber="1" minValue="0" maxValue="37969.089999999997"/>
    </cacheField>
    <cacheField name="PAGOS" numFmtId="44">
      <sharedItems containsSemiMixedTypes="0" containsString="0" containsNumber="1" minValue="0" maxValue="731609.76"/>
    </cacheField>
    <cacheField name="GASTOS" numFmtId="44">
      <sharedItems containsSemiMixedTypes="0" containsString="0" containsNumber="1" minValue="-3386.69" maxValue="138330.23000000001"/>
    </cacheField>
    <cacheField name="SALVAMENTOS" numFmtId="44">
      <sharedItems containsSemiMixedTypes="0" containsString="0" containsNumber="1" minValue="-47413.79" maxValue="0"/>
    </cacheField>
    <cacheField name="INGRESOS" numFmtId="44">
      <sharedItems containsSemiMixedTypes="0" containsString="0" containsNumber="1" minValue="-59747.53" maxValue="0"/>
    </cacheField>
    <cacheField name="RVA. SALVAMENTOS" numFmtId="44">
      <sharedItems containsSemiMixedTypes="0" containsString="0" containsNumber="1" minValue="0" maxValue="62582.89"/>
    </cacheField>
    <cacheField name="RESERVA" numFmtId="44">
      <sharedItems containsSemiMixedTypes="0" containsString="0" containsNumber="1" minValue="0" maxValue="181009.18"/>
    </cacheField>
    <cacheField name="SINIESTRO TOTAL" numFmtId="44">
      <sharedItems containsSemiMixedTypes="0" containsString="0" containsNumber="1" minValue="-25964.6" maxValue="913561.74"/>
    </cacheField>
    <cacheField name="DM_PAGOS" numFmtId="44">
      <sharedItems containsSemiMixedTypes="0" containsString="0" containsNumber="1" minValue="0" maxValue="143765.51999999999"/>
    </cacheField>
    <cacheField name="GM_PAGOS" numFmtId="44">
      <sharedItems containsSemiMixedTypes="0" containsString="0" containsNumber="1" minValue="0" maxValue="201551.19"/>
    </cacheField>
    <cacheField name="RT_PAGOS" numFmtId="44">
      <sharedItems containsSemiMixedTypes="0" containsString="0" containsNumber="1" containsInteger="1" minValue="0" maxValue="0"/>
    </cacheField>
    <cacheField name="RC_PAGOS" numFmtId="44">
      <sharedItems containsSemiMixedTypes="0" containsString="0" containsNumber="1" minValue="0" maxValue="530058.56999999995"/>
    </cacheField>
    <cacheField name="OT_PAGOS" numFmtId="44">
      <sharedItems containsSemiMixedTypes="0" containsString="0" containsNumber="1" containsInteger="1" minValue="0" maxValue="0"/>
    </cacheField>
    <cacheField name="FECHA DE SINIESTRO" numFmtId="1">
      <sharedItems/>
    </cacheField>
    <cacheField name="CONTRATANTE" numFmtId="1">
      <sharedItems/>
    </cacheField>
    <cacheField name="NO. DE SERIE" numFmtId="1">
      <sharedItems/>
    </cacheField>
    <cacheField name="INICIO DE VIGENCIA" numFmtId="1">
      <sharedItems containsSemiMixedTypes="0" containsString="0" containsNumber="1" containsInteger="1" minValue="20171231" maxValue="20190227"/>
    </cacheField>
    <cacheField name="FECHA DE TERMINO" numFmtId="1">
      <sharedItems containsSemiMixedTypes="0" containsString="0" containsNumber="1" containsInteger="1" minValue="20181230" maxValue="20191230"/>
    </cacheField>
    <cacheField name="CARATULA" numFmtId="1">
      <sharedItems containsNonDate="0" containsString="0" containsBlank="1"/>
    </cacheField>
    <cacheField name="CONTRATO" numFmtId="1">
      <sharedItems/>
    </cacheField>
    <cacheField name="STATUS POLIZA" numFmtId="1">
      <sharedItems/>
    </cacheField>
    <cacheField name="POLIZA PADRE" numFmtId="1">
      <sharedItems/>
    </cacheField>
    <cacheField name="ESTADO DE CIRCULACIÓN" numFmtId="1">
      <sharedItems/>
    </cacheField>
    <cacheField name="MODELO" numFmtId="1">
      <sharedItems containsSemiMixedTypes="0" containsString="0" containsNumber="1" containsInteger="1" minValue="2013" maxValue="2019"/>
    </cacheField>
    <cacheField name="USO" numFmtId="1">
      <sharedItems/>
    </cacheField>
    <cacheField name="DESCRIPCIÓN DEL VEHICULO" numFmtId="1">
      <sharedItems/>
    </cacheField>
    <cacheField name="SINIESTRO" numFmtId="1">
      <sharedItems/>
    </cacheField>
    <cacheField name="NOMBRE DEL CONDUCTOR" numFmtId="1">
      <sharedItems containsBlank="1"/>
    </cacheField>
    <cacheField name="STATUS DE SINIESTROS" numFmtId="1">
      <sharedItems/>
    </cacheField>
    <cacheField name="DESCRIPCIÓN DE SINIESTRO" numFmtId="1">
      <sharedItems/>
    </cacheField>
    <cacheField name="ESTADO DE OCURRENCIA" numFmtId="1">
      <sharedItems/>
    </cacheField>
    <cacheField name="CAUSA" numFmtId="1">
      <sharedItems count="8">
        <s v="COLISION"/>
        <s v="CRISTALES"/>
        <s v="INCENDIO"/>
        <s v="VUELCO"/>
        <s v="ROBO CON ASALTO                                   R"/>
        <s v="OTROS"/>
        <s v="ATROPELLO"/>
        <s v="CAT. FENOMENOS NATURALES"/>
      </sharedItems>
    </cacheField>
    <cacheField name="HORA DE OCURRENCIA" numFmtId="1">
      <sharedItems/>
    </cacheField>
    <cacheField name="LUGAR_OCU" numFmtId="1">
      <sharedItems containsBlank="1"/>
    </cacheField>
    <cacheField name="FECHA DE REPORTE" numFmtId="14">
      <sharedItems containsSemiMixedTypes="0" containsNonDate="0" containsDate="1" containsString="0" minDate="2018-01-03T00:00:00" maxDate="2019-07-25T00:00:00"/>
    </cacheField>
    <cacheField name="COBERTURA AFECTADA" numFmtId="1">
      <sharedItems count="6">
        <s v="PP"/>
        <s v="DM"/>
        <s v="DMGM"/>
        <s v="DMGMRC"/>
        <s v="RT"/>
        <s v="DMRC"/>
      </sharedItems>
    </cacheField>
    <cacheField name="OFICINA" numFmtId="1">
      <sharedItems containsSemiMixedTypes="0" containsString="0" containsNumber="1" containsInteger="1" minValue="33" maxValue="33"/>
    </cacheField>
    <cacheField name="RESPONSABLE" numFmtId="0">
      <sharedItems containsBlank="1"/>
    </cacheField>
    <cacheField name="MES SINIESTRO" numFmtId="17">
      <sharedItems containsSemiMixedTypes="0" containsNonDate="0" containsDate="1" containsString="0" minDate="2018-01-01T00:00:00" maxDate="2019-07-02T00:00:00" count="19">
        <d v="2019-02-01T00:00:00"/>
        <d v="2019-03-01T00:00:00"/>
        <d v="2019-04-01T00:00:00"/>
        <d v="2019-05-01T00:00:00"/>
        <d v="2019-06-01T00:00:00"/>
        <d v="2019-07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 u="1"/>
      </sharedItems>
    </cacheField>
    <cacheField name="TIPO DE SERVICIO" numFmtId="0">
      <sharedItems containsBlank="1" count="18">
        <s v="Agente Empleado"/>
        <s v="AVES"/>
        <m/>
        <s v="Pool Administrativo" u="1"/>
        <s v="Ajuste pool" u="1"/>
        <s v="Gerente Ajustes" u="1"/>
        <s v="Servicio de Medico" u="1"/>
        <s v="Pool Ajustes" u="1"/>
        <s v="Dirección General" u="1"/>
        <s v="Supervisor equipo pesado" u="1"/>
        <e v="#N/A" u="1"/>
        <s v="Gerente de Robos" u="1"/>
        <s v="Pool" u="1"/>
        <s v="Supervisor de Taller" u="1"/>
        <s v="Asesor de Servicio" u="1"/>
        <s v="Auxilio Vial" u="1"/>
        <s v="Sindicato" u="1"/>
        <s v="Supervisor Ajustes" u="1"/>
      </sharedItems>
    </cacheField>
    <cacheField name="CIUDAD" numFmtId="0">
      <sharedItems containsBlank="1" count="31">
        <s v="Toluca"/>
        <s v="Monterrey"/>
        <s v="Veracruz"/>
        <s v="Culiacán"/>
        <s v="Ciudad de México"/>
        <s v="Acapulco"/>
        <s v="Durango"/>
        <s v="Chihuahua"/>
        <m/>
        <s v="Cuernavaca" u="1"/>
        <s v="Mexicali" u="1"/>
        <s v="Tepic" u="1"/>
        <s v="Tijuana" u="1"/>
        <s v="Morelia" u="1"/>
        <s v="Colima" u="1"/>
        <s v="Mazatlán" u="1"/>
        <s v="León" u="1"/>
        <s v="Cancún" u="1"/>
        <s v="Villahermosa" u="1"/>
        <s v="Reynosa" u="1"/>
        <s v="Los Cabos" u="1"/>
        <s v="Puebla" u="1"/>
        <e v="#N/A" u="1"/>
        <s v="Torreón" u="1"/>
        <s v="Ciudad Juárez" u="1"/>
        <s v="Mérida" u="1"/>
        <s v="San Luis Potosí" u="1"/>
        <s v="Hermosillo" u="1"/>
        <s v="Oaxaca" u="1"/>
        <s v="Pachuca" u="1"/>
        <s v="Guadalajara" u="1"/>
      </sharedItems>
    </cacheField>
    <cacheField name="ECO." numFmtId="0">
      <sharedItems containsBlank="1"/>
    </cacheField>
    <cacheField name="Nombre" numFmtId="0">
      <sharedItems containsBlank="1" count="120">
        <s v="Gutiérrez Campos Wilfrido Gerardo"/>
        <s v="Rivera Torres Daniela Jazmín"/>
        <s v="José de Jesús Diaz Suárez"/>
        <s v="Delgado Espinosa Manuel"/>
        <s v="Cornejo Peralta Patricia"/>
        <s v="-"/>
        <s v="Cárdenas Aceval Ulises"/>
        <s v="Ramírez Aguirre Jonathan Jovany"/>
        <s v="Mario Pulido"/>
        <m/>
        <s v="ANDRES ARGUELLO GUZMAN" u="1"/>
        <s v="EDGAR CARVAJAL CRUZ" u="1"/>
        <s v="Martinez Morales Edgar Rolando" u="1"/>
        <s v="Rivera Lopez Benito" u="1"/>
        <s v="Rodríguez Cruz José Carlos" u="1"/>
        <s v="Ruíz Barríos Argelia Selene" u="1"/>
        <s v="Bernal Rico Noe Israel" u="1"/>
        <s v="Castillo Flores Héctor Guillermo" u="1"/>
        <s v="José Eduardo Toledo Hernández" u="1"/>
        <s v="Jiménez Maya Juan Carlos" u="1"/>
        <s v="Mendoza Urbina Juan Alberto" u="1"/>
        <s v="Ramirez Enriquez Héctor" u="1"/>
        <s v="Magallon Valencia José Luis" u="1"/>
        <e v="#N/A" u="1"/>
        <s v="Villa Lara Ricardo" u="1"/>
        <s v="Salinas Davila Sergio Guadalupe" u="1"/>
        <s v="Domínguez Nevarez Juan Noe" u="1"/>
        <s v="Correa Puerta José Antonio" u="1"/>
        <s v="Cervantes Guízar Marco Antonio" u="1"/>
        <s v="Franco Cabrera Jesus Antonio" u="1"/>
        <s v="San Agustín Montoya Jorge Fernando" u="1"/>
        <s v="Olmedo Calderon Victor Daniel" u="1"/>
        <s v="Suarez Diaz Hugo Donaldo" u="1"/>
        <s v="Barrios Díaz Héctor" u="1"/>
        <s v="Arellano Berlanga Gustavo Alonso" u="1"/>
        <s v="Rosete Sanchez Javier" u="1"/>
        <s v="Villasana Garza Eduardo Alexander" u="1"/>
        <s v="Espinosa Patron Jafet Iguasu" u="1"/>
        <s v="Córdova Valenzuela Asunción" u="1"/>
        <s v="Martinez Ortiz Brandon Jahziel" u="1"/>
        <s v="Cardenas Echeverria David" u="1"/>
        <s v="Rivera Moreno David" u="1"/>
        <s v="Jaimes Bobadilla Felipe Roberto" u="1"/>
        <s v="Ortiz Nava Juan Carlos" u="1"/>
        <s v="Carrasco Herrera Gerardo" u="1"/>
        <s v="Garcia Rubio Erick" u="1"/>
        <s v="Ayala Lara Manuel" u="1"/>
        <s v="Benitez Baltazar Mauro" u="1"/>
        <s v="Olvera Zamora Francisco" u="1"/>
        <s v="Sanchez Y Sanchez Alejandro" u="1"/>
        <s v="Ochoa Castañeda Carlos" u="1"/>
        <s v="Ramírez Díaz Rafael" u="1"/>
        <s v="Santillán Rivera Adan" u="1"/>
        <s v="Hernandez Cordero Marco Antonio" u="1"/>
        <s v="Montañez Espinosa Mario Alberto" u="1"/>
        <s v="Ortíz Fonseca Cesar Manuel" u="1"/>
        <s v="Mejía González Nurivan Misael" u="1"/>
        <s v="Romero Alvarado Guillermo" u="1"/>
        <s v="Barro Soto Héctor Alfredo" u="1"/>
        <s v="Perez Martinez Aldo" u="1"/>
        <s v="Resendiz Altamirano Fernando" u="1"/>
        <s v="Yeverino Gonzalez Ivan" u="1"/>
        <s v="Salinas Urbano José Luis" u="1"/>
        <s v="Plascencia Martínez J Jesus" u="1"/>
        <s v="Zazueta Sosa Esteban Luciano" u="1"/>
        <s v="López Pérez José Luis" u="1"/>
        <s v="Leyva Hernández Marcos Joel" u="1"/>
        <s v="Poblano Sandoval Alejandro" u="1"/>
        <s v="Vázquez Ramos Isaac Erick" u="1"/>
        <s v="Hernandez Rodriguez Fernando" u="1"/>
        <s v="Barragán Contreras Cesar Gerardo" u="1"/>
        <s v="Montiel Medina Alexandro" u="1"/>
        <s v="Felipe de Jesús Ceron Esquivel" u="1"/>
        <s v="Silva Mendoza Oscar Alejandro" u="1"/>
        <s v="Barrera Arévalo Victor Hugo" u="1"/>
        <s v="Moreno Flores Jayro Rodrigo" u="1"/>
        <s v="Pérez Galván Clemente" u="1"/>
        <s v="Saltijeral Toledo Laura Daniela" u="1"/>
        <s v="Robles Castañeda J. Jesús" u="1"/>
        <s v="Arroyo Castro Hugo Wilfrido" u="1"/>
        <s v="Palestina Feregrino Néstor Lubin" u="1"/>
        <s v="Crisantos Ocampo Alan" u="1"/>
        <s v="G.N.P. ARRENDAMIENTO " u="1"/>
        <s v="Sanchez Rosales German" u="1"/>
        <s v="Sanchez Perez Alejandro" u="1"/>
        <s v="ZABDIEL ALBERTO ORTEGON GALVAN" u="1"/>
        <s v="Arias Malagón Victor Alfonso" u="1"/>
        <s v="Escobedo Lezama José Eduardo" u="1"/>
        <s v="Nava Galicia José Ángel" u="1"/>
        <s v="Ruíz Zarate Francisco Javier" u="1"/>
        <s v="Pinto Córdova Javier Ricardo" u="1"/>
        <s v="Ovando Madrid Julio Alberto" u="1"/>
        <s v="Rodriguez Herrera Valentín Arturo" u="1"/>
        <s v="Gurrola Cruz Benjamín" u="1"/>
        <s v="Rojo Ortiz Marvin" u="1"/>
        <s v="Gonzalez Ontiveros José Luis" u="1"/>
        <s v="Contreras Oropeza Esteban Daniel" u="1"/>
        <s v="Secalde Pérez Alberto" u="1"/>
        <s v="Chavarría Gómez David Alejandro" u="1"/>
        <s v="Ríos Montaño Edgar Mauricio" u="1"/>
        <s v="Rosales Ramirez Noe" u="1"/>
        <s v="Delgado Castillo José Daniel" u="1"/>
        <s v="JOSE DE JESUS MARTINEZ PANIAGUA" u="1"/>
        <s v="Mendoza Gaytan Juan Carlos" u="1"/>
        <s v="ENRIQUE GARDU#O JUSTO" u="1"/>
        <s v="Trejo Suárez Rafael" u="1"/>
        <s v="Ortega Constantino Javier" u="1"/>
        <s v="Escalante Serrano Larry Carlos" u="1"/>
        <s v="Ordoñez Martínez Alonso" u="1"/>
        <s v="Rodriguez Gómez Antonio Izanami" u="1"/>
        <s v="Garcia Garcia José De Jesús" u="1"/>
        <s v="Carmona Ortega Francisco Salomon" u="1"/>
        <s v="Aguilar Arias Armando" u="1"/>
        <s v="Gonzalez Limon Alejandro" u="1"/>
        <s v="Márquez Sepúlveda Gerardo Ivan" u="1"/>
        <s v="Esparza Serrano Saúl Alfredo" u="1"/>
        <s v="Mota Villa Valentino" u="1"/>
        <s v="Mata Lozano Gerardo" u="1"/>
        <s v="Salazar Hernández Alejandro" u="1"/>
        <s v="Barranca Ramírez Emmanuel Christian" u="1"/>
      </sharedItems>
    </cacheField>
    <cacheField name="NOMBRE DEL CONDUCTOR registrado en cabina" numFmtId="1">
      <sharedItems containsBlank="1"/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s v="00000310161930"/>
    <s v="1"/>
    <s v="36868"/>
    <n v="-4236.6099999999997"/>
    <n v="506.53"/>
    <n v="0"/>
    <n v="0"/>
    <n v="0"/>
    <n v="1302.3"/>
    <n v="0"/>
    <n v="0"/>
    <n v="0"/>
    <n v="8682"/>
    <n v="9984.2999999999993"/>
    <n v="0"/>
    <n v="0"/>
    <n v="0"/>
    <n v="0"/>
    <n v="0"/>
    <s v="20190222"/>
    <s v="G.N.P. ARRENDAMIENTO Y ADMINISTRACION DE FLOTILLAS"/>
    <s v="3G1TA5CF7JL240778"/>
    <n v="20181231"/>
    <n v="20191230"/>
    <m/>
    <s v="62234"/>
    <s v="Cancelada"/>
    <s v="00000309844611"/>
    <s v="ESTADO DE MEXICO"/>
    <n v="2018"/>
    <s v="Privado"/>
    <s v="AVEO LT SEDAN W STD"/>
    <s v="0090122037"/>
    <m/>
    <s v="Pendiente"/>
    <s v="AUTOAJUSTE CL"/>
    <s v="Mexico"/>
    <x v="0"/>
    <s v="11:44"/>
    <m/>
    <d v="2019-02-22T00:00:00"/>
    <x v="0"/>
    <n v="33"/>
    <m/>
    <x v="0"/>
    <x v="0"/>
    <x v="0"/>
    <s v="18192"/>
    <x v="0"/>
  </r>
  <r>
    <s v="00000310158670"/>
    <s v="1"/>
    <s v="36868"/>
    <n v="0"/>
    <n v="809.73"/>
    <n v="0"/>
    <n v="809.73"/>
    <n v="720.72"/>
    <n v="108.11"/>
    <n v="0"/>
    <n v="0"/>
    <n v="0"/>
    <n v="0"/>
    <n v="828.83"/>
    <n v="720.72"/>
    <n v="0"/>
    <n v="0"/>
    <n v="0"/>
    <n v="0"/>
    <s v="20190311"/>
    <s v="G.N.P. ARRENDAMIENTO Y ADMINISTRACION DE FLOTILLAS"/>
    <s v="3G1TB5CF5HL152805"/>
    <n v="20181231"/>
    <n v="20191230"/>
    <m/>
    <s v="62234"/>
    <s v="Vigente"/>
    <s v="00000309844611"/>
    <s v="DISTRITO FEDERAL"/>
    <n v="2017"/>
    <s v="Privado"/>
    <s v="AVEO F STD EE ABS A.AC. MP3 B/A 4P"/>
    <s v="0090676172"/>
    <m/>
    <s v="Terminado"/>
    <s v="CRISTAL LATERAL TRASERO"/>
    <s v="Coahuila"/>
    <x v="1"/>
    <s v="10:47"/>
    <m/>
    <d v="2019-03-11T00:00:00"/>
    <x v="0"/>
    <n v="33"/>
    <m/>
    <x v="1"/>
    <x v="1"/>
    <x v="1"/>
    <s v="17157"/>
    <x v="1"/>
  </r>
  <r>
    <s v="00000310161898"/>
    <s v="1"/>
    <s v="36868"/>
    <n v="3541.58"/>
    <n v="628.54"/>
    <n v="0"/>
    <n v="0"/>
    <n v="0"/>
    <n v="460"/>
    <n v="0"/>
    <n v="0"/>
    <n v="0"/>
    <n v="0"/>
    <n v="460"/>
    <n v="0"/>
    <n v="0"/>
    <n v="0"/>
    <n v="0"/>
    <n v="0"/>
    <s v="20190308"/>
    <s v="G.N.P. ARRENDAMIENTO Y ADMINISTRACION DE FLOTILLAS"/>
    <s v="3G1TA5CF3JL238350"/>
    <n v="20181231"/>
    <n v="20191230"/>
    <m/>
    <s v="62234"/>
    <s v="Cancelada"/>
    <s v="00000309844611"/>
    <s v="DISTRITO FEDERAL"/>
    <n v="2018"/>
    <s v="Privado"/>
    <s v="AVEO LT SEDAN W STD"/>
    <s v="0090607094"/>
    <s v="ADRIANA ZAVALA MADRIGAL"/>
    <s v="Terminado"/>
    <s v="CL CON POSTE"/>
    <s v="Veracruz"/>
    <x v="0"/>
    <s v="11:50"/>
    <m/>
    <d v="2019-03-08T00:00:00"/>
    <x v="0"/>
    <n v="33"/>
    <m/>
    <x v="1"/>
    <x v="1"/>
    <x v="2"/>
    <s v="18188"/>
    <x v="1"/>
  </r>
  <r>
    <s v="00000310155684"/>
    <s v="1"/>
    <s v="36868"/>
    <n v="9607.0499999999993"/>
    <n v="3371.71"/>
    <n v="0"/>
    <n v="0"/>
    <n v="1596"/>
    <n v="239.4"/>
    <n v="0"/>
    <n v="0"/>
    <n v="0"/>
    <n v="0"/>
    <n v="1835.4"/>
    <n v="1596"/>
    <n v="0"/>
    <n v="0"/>
    <n v="0"/>
    <n v="0"/>
    <s v="20190410"/>
    <s v="G.N.P. ARRENDAMIENTO Y ADMINISTRACION DE FLOTILLAS"/>
    <s v="3G1TB5CF1GL204767"/>
    <n v="20181231"/>
    <n v="20191230"/>
    <m/>
    <s v="62234"/>
    <s v="Cancelada"/>
    <s v="00000309844611"/>
    <s v="SINALOA"/>
    <n v="2016"/>
    <s v="Privado"/>
    <s v="AVEO F STD EE ABS A.AC. MP3 B/A 4P"/>
    <s v="0091719799"/>
    <m/>
    <s v="Terminado"/>
    <s v="DANO DE CRISTAL PARABRISAS  CR SMS  5533342954"/>
    <s v="Sinaloa"/>
    <x v="1"/>
    <s v="14:27"/>
    <m/>
    <d v="2019-04-10T00:00:00"/>
    <x v="0"/>
    <n v="33"/>
    <m/>
    <x v="2"/>
    <x v="1"/>
    <x v="3"/>
    <s v="16144"/>
    <x v="2"/>
  </r>
  <r>
    <s v="00000310161682"/>
    <s v="1"/>
    <s v="36868"/>
    <n v="0"/>
    <n v="1420.16"/>
    <n v="0"/>
    <n v="1420.16"/>
    <n v="64606.43"/>
    <n v="39897.410000000003"/>
    <n v="0"/>
    <n v="-7755"/>
    <n v="0"/>
    <n v="6578"/>
    <n v="103326.84"/>
    <n v="48306.68"/>
    <n v="16299.75"/>
    <n v="0"/>
    <n v="0"/>
    <n v="0"/>
    <s v="20190422"/>
    <s v="G.N.P. ARRENDAMIENTO Y ADMINISTRACION DE FLOTILLAS"/>
    <s v="3G1TA5CF2JL190596"/>
    <n v="20181231"/>
    <n v="20191230"/>
    <m/>
    <s v="62234"/>
    <s v="Vigente"/>
    <s v="00000309844611"/>
    <s v="VERACRUZ"/>
    <n v="2018"/>
    <s v="Privado"/>
    <s v="AVEO LT SEDAN W STD"/>
    <s v="0092023068"/>
    <s v="MANUEL DELGADO ESPINOZA"/>
    <s v="Pendiente"/>
    <s v="3RO EN LUGAR"/>
    <s v="Veracruz"/>
    <x v="0"/>
    <s v="12:06"/>
    <m/>
    <d v="2019-04-22T00:00:00"/>
    <x v="0"/>
    <n v="33"/>
    <m/>
    <x v="2"/>
    <x v="0"/>
    <x v="2"/>
    <s v="18170"/>
    <x v="3"/>
  </r>
  <r>
    <s v="00000310946546"/>
    <s v="1"/>
    <s v="36868"/>
    <n v="0"/>
    <n v="1156.29"/>
    <n v="0"/>
    <n v="0"/>
    <n v="0"/>
    <n v="-1305.45"/>
    <n v="0"/>
    <n v="-15658"/>
    <n v="0"/>
    <n v="3735"/>
    <n v="-13228.45"/>
    <n v="0"/>
    <n v="0"/>
    <n v="0"/>
    <n v="0"/>
    <n v="0"/>
    <s v="20190523"/>
    <s v="G.N.P. ARRENDAMIENTO Y ADMINISTRACION DE FLOTILLAS"/>
    <s v="JTDKDTB35K1624802"/>
    <n v="20190126"/>
    <n v="20191230"/>
    <m/>
    <s v="62234"/>
    <s v="Cancelada"/>
    <s v="00000309844611"/>
    <s v="DISTRITO FEDERAL"/>
    <n v="2019"/>
    <s v="Privado"/>
    <s v="TOYOTA PRIUS C L4 1.5 HB HYBRID CVT"/>
    <s v="0093077410"/>
    <s v="PATRICIA CORNEJO PERALTA"/>
    <s v="Reabierto"/>
    <s v="TOLEDO COLOR GRIS"/>
    <s v="Mexico"/>
    <x v="0"/>
    <s v="21:47"/>
    <m/>
    <d v="2019-05-23T00:00:00"/>
    <x v="0"/>
    <n v="33"/>
    <m/>
    <x v="3"/>
    <x v="0"/>
    <x v="4"/>
    <s v="19135"/>
    <x v="4"/>
  </r>
  <r>
    <s v="00000310160759"/>
    <s v="1"/>
    <s v="36868"/>
    <n v="0"/>
    <n v="409.77"/>
    <n v="0"/>
    <n v="409.77"/>
    <n v="0"/>
    <n v="338.85"/>
    <n v="0"/>
    <n v="0"/>
    <n v="0"/>
    <n v="2258.9699999999998"/>
    <n v="2597.8200000000002"/>
    <n v="0"/>
    <n v="0"/>
    <n v="0"/>
    <n v="0"/>
    <n v="0"/>
    <s v="20190614"/>
    <s v="G.N.P. ARRENDAMIENTO Y ADMINISTRACION DE FLOTILLAS"/>
    <s v="3G1TA5CFXJL201358"/>
    <n v="20181231"/>
    <n v="20191230"/>
    <m/>
    <s v="62234"/>
    <s v="Vigente"/>
    <s v="00000309844611"/>
    <s v="DISTRITO FEDERAL"/>
    <n v="2018"/>
    <s v="Privado"/>
    <s v="AVEO LT SEDAN W STD"/>
    <s v="0093797322"/>
    <m/>
    <s v="Pendiente"/>
    <s v="AUTOAJUSTE CR"/>
    <s v="Guerrero"/>
    <x v="1"/>
    <s v="14:44"/>
    <m/>
    <d v="2019-06-14T00:00:00"/>
    <x v="0"/>
    <n v="33"/>
    <m/>
    <x v="4"/>
    <x v="0"/>
    <x v="5"/>
    <s v="18106"/>
    <x v="5"/>
  </r>
  <r>
    <s v="00000310161328"/>
    <s v="1"/>
    <s v="36868"/>
    <n v="0"/>
    <n v="692.8"/>
    <n v="0"/>
    <n v="692.8"/>
    <n v="0"/>
    <n v="2794.35"/>
    <n v="0"/>
    <n v="0"/>
    <n v="0"/>
    <n v="18629"/>
    <n v="21423.35"/>
    <n v="0"/>
    <n v="0"/>
    <n v="0"/>
    <n v="0"/>
    <n v="0"/>
    <s v="20190624"/>
    <s v="G.N.P. ARRENDAMIENTO Y ADMINISTRACION DE FLOTILLAS"/>
    <s v="3G1TA5CF6JL189502"/>
    <n v="20181231"/>
    <n v="20191230"/>
    <m/>
    <s v="62234"/>
    <s v="Vigente"/>
    <s v="00000309844611"/>
    <s v="DURANGO"/>
    <n v="2018"/>
    <s v="Privado"/>
    <s v="AVEO LT SEDAN W STD"/>
    <s v="0094085776"/>
    <s v="LARRY GUTIERREZ RIVERA"/>
    <s v="Pendiente"/>
    <s v="COLISION CON OBJETO"/>
    <s v="Durango"/>
    <x v="0"/>
    <s v="05:58"/>
    <m/>
    <d v="2019-06-24T00:00:00"/>
    <x v="0"/>
    <n v="33"/>
    <m/>
    <x v="4"/>
    <x v="0"/>
    <x v="6"/>
    <s v="18145"/>
    <x v="6"/>
  </r>
  <r>
    <s v="00000310161906"/>
    <s v="1"/>
    <s v="36868"/>
    <n v="0"/>
    <n v="409.77"/>
    <n v="0"/>
    <n v="409.77"/>
    <n v="0"/>
    <n v="1256.6099999999999"/>
    <n v="0"/>
    <n v="-15658"/>
    <n v="0"/>
    <n v="24035.37"/>
    <n v="9633.98"/>
    <n v="0"/>
    <n v="0"/>
    <n v="0"/>
    <n v="0"/>
    <n v="0"/>
    <s v="20190618"/>
    <s v="G.N.P. ARRENDAMIENTO Y ADMINISTRACION DE FLOTILLAS"/>
    <s v="3G1TA5CF3JL239241"/>
    <n v="20181231"/>
    <n v="20191230"/>
    <m/>
    <s v="62234"/>
    <s v="Vigente"/>
    <s v="00000309844611"/>
    <s v="DISTRITO FEDERAL"/>
    <n v="2018"/>
    <s v="Privado"/>
    <s v="AVEO LT SEDAN W STD"/>
    <s v="0093915494"/>
    <m/>
    <s v="Reabierto"/>
    <s v="3ERO EN LUGAR"/>
    <s v="Sinaloa"/>
    <x v="0"/>
    <s v="15:29"/>
    <m/>
    <d v="2019-06-18T00:00:00"/>
    <x v="0"/>
    <n v="33"/>
    <m/>
    <x v="4"/>
    <x v="1"/>
    <x v="3"/>
    <s v="18189"/>
    <x v="2"/>
  </r>
  <r>
    <s v="00000310159017"/>
    <s v="1"/>
    <s v="36868"/>
    <n v="0"/>
    <n v="393.87"/>
    <n v="0"/>
    <n v="393.87"/>
    <n v="0"/>
    <n v="17698.5"/>
    <n v="0"/>
    <n v="0"/>
    <n v="0"/>
    <n v="117990"/>
    <n v="135688.5"/>
    <n v="0"/>
    <n v="0"/>
    <n v="0"/>
    <n v="0"/>
    <n v="0"/>
    <s v="20190724"/>
    <s v="G.N.P. ARRENDAMIENTO Y ADMINISTRACION DE FLOTILLAS"/>
    <s v="3G1TB5CF6HL165756"/>
    <n v="20181231"/>
    <n v="20191230"/>
    <m/>
    <s v="62234"/>
    <s v="Vigente"/>
    <s v="00000309844611"/>
    <s v="DISTRITO FEDERAL"/>
    <n v="2017"/>
    <s v="Privado"/>
    <s v="AVEO F STD EE ABS A.AC. MP3 B/A 4P"/>
    <s v="0095102315"/>
    <s v="G.N.P. ARRENDAMIENTO Y ADMINISTRACION DE FLOTILLAS, S.A. DEC.V."/>
    <s v="Reabierto"/>
    <s v="INCENDIO"/>
    <s v="Chihuahua"/>
    <x v="2"/>
    <s v="16:04"/>
    <m/>
    <d v="2019-07-24T00:00:00"/>
    <x v="1"/>
    <n v="33"/>
    <m/>
    <x v="5"/>
    <x v="0"/>
    <x v="7"/>
    <s v="17182"/>
    <x v="5"/>
  </r>
  <r>
    <s v="00000310946553"/>
    <s v="1"/>
    <s v="36868"/>
    <n v="0"/>
    <n v="587.62"/>
    <n v="0"/>
    <n v="0"/>
    <n v="18217"/>
    <n v="2732.55"/>
    <n v="0"/>
    <n v="0"/>
    <n v="0"/>
    <n v="0"/>
    <n v="20949.55"/>
    <n v="0"/>
    <n v="0"/>
    <n v="0"/>
    <n v="18217"/>
    <n v="0"/>
    <s v="20190722"/>
    <s v="G.N.P. ARRENDAMIENTO Y ADMINISTRACION DE FLOTILLAS"/>
    <s v="JTDKDTB37K1624798"/>
    <n v="20190126"/>
    <n v="20191230"/>
    <m/>
    <s v="62234"/>
    <s v="Cancelada"/>
    <s v="00000309844611"/>
    <s v="DISTRITO FEDERAL"/>
    <n v="2019"/>
    <s v="Privado"/>
    <s v="TOYOTA PRIUS C L4 1.5 HB HYBRID CVT"/>
    <s v="0094999992"/>
    <s v="JONATHAN RAMIREZ AGUIRRE"/>
    <s v="Terminado"/>
    <s v="HAY 3RO"/>
    <s v="Distrito Federal"/>
    <x v="0"/>
    <s v="08:38"/>
    <m/>
    <d v="2019-07-22T00:00:00"/>
    <x v="0"/>
    <n v="33"/>
    <m/>
    <x v="5"/>
    <x v="0"/>
    <x v="4"/>
    <s v="19136"/>
    <x v="7"/>
  </r>
  <r>
    <s v="00000316255587"/>
    <s v="1"/>
    <s v="36868"/>
    <n v="0"/>
    <n v="587.80999999999995"/>
    <n v="0"/>
    <n v="0"/>
    <n v="0"/>
    <n v="986.7"/>
    <n v="0"/>
    <n v="0"/>
    <n v="0"/>
    <n v="6578"/>
    <n v="7564.7"/>
    <n v="0"/>
    <n v="0"/>
    <n v="0"/>
    <n v="0"/>
    <n v="0"/>
    <s v="20190701"/>
    <s v="G.N.P. ARRENDAMIENTO Y ADMINISTRACION DE FLOTILLAS"/>
    <s v="JTDKDTB34K1625343"/>
    <n v="20190227"/>
    <n v="20191230"/>
    <m/>
    <s v="62234"/>
    <s v="Cancelada"/>
    <s v="00000309844611"/>
    <s v="DISTRITO FEDERAL"/>
    <n v="2019"/>
    <s v="Privado"/>
    <s v="TOYOTA PRIUS C L4 1.5 HB HYBRID CVT"/>
    <s v="0094351350"/>
    <m/>
    <s v="Pendiente"/>
    <s v="3ERO MAZDA BLANCO"/>
    <s v="Distrito Federal"/>
    <x v="0"/>
    <s v="17:54"/>
    <m/>
    <d v="2019-07-01T00:00:00"/>
    <x v="0"/>
    <n v="33"/>
    <m/>
    <x v="5"/>
    <x v="1"/>
    <x v="4"/>
    <s v="19189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4">
  <r>
    <s v="00000310161930"/>
    <s v="1"/>
    <s v="36868"/>
    <n v="-4236.6099999999997"/>
    <n v="506.53"/>
    <n v="0"/>
    <n v="0"/>
    <n v="0"/>
    <n v="1302.3"/>
    <n v="0"/>
    <n v="0"/>
    <n v="0"/>
    <n v="8682"/>
    <n v="9984.2999999999993"/>
    <n v="0"/>
    <n v="0"/>
    <n v="0"/>
    <n v="0"/>
    <n v="0"/>
    <s v="20190222"/>
    <s v="G.N.P. ARRENDAMIENTO Y ADMINISTRACION DE FLOTILLAS"/>
    <s v="3G1TA5CF7JL240778"/>
    <n v="20181231"/>
    <n v="20191230"/>
    <m/>
    <s v="62234"/>
    <s v="Cancelada"/>
    <s v="00000309844611"/>
    <s v="ESTADO DE MEXICO"/>
    <n v="2018"/>
    <s v="Privado"/>
    <s v="AVEO LT SEDAN W STD"/>
    <s v="0090122037"/>
    <m/>
    <s v="Pendiente"/>
    <s v="AUTOAJUSTE CL"/>
    <s v="Mexico"/>
    <x v="0"/>
    <s v="11:44"/>
    <m/>
    <d v="2019-02-22T00:00:00"/>
    <x v="0"/>
    <n v="33"/>
    <m/>
    <x v="0"/>
    <x v="0"/>
    <x v="0"/>
    <s v="18192"/>
    <x v="0"/>
    <m/>
  </r>
  <r>
    <s v="00000310158670"/>
    <s v="1"/>
    <s v="36868"/>
    <n v="0"/>
    <n v="809.73"/>
    <n v="0"/>
    <n v="809.73"/>
    <n v="720.72"/>
    <n v="108.11"/>
    <n v="0"/>
    <n v="0"/>
    <n v="0"/>
    <n v="0"/>
    <n v="828.83"/>
    <n v="720.72"/>
    <n v="0"/>
    <n v="0"/>
    <n v="0"/>
    <n v="0"/>
    <s v="20190311"/>
    <s v="G.N.P. ARRENDAMIENTO Y ADMINISTRACION DE FLOTILLAS"/>
    <s v="3G1TB5CF5HL152805"/>
    <n v="20181231"/>
    <n v="20191230"/>
    <m/>
    <s v="62234"/>
    <s v="Vigente"/>
    <s v="00000309844611"/>
    <s v="DISTRITO FEDERAL"/>
    <n v="2017"/>
    <s v="Privado"/>
    <s v="AVEO F STD EE ABS A.AC. MP3 B/A 4P"/>
    <s v="0090676172"/>
    <m/>
    <s v="Terminado"/>
    <s v="CRISTAL LATERAL TRASERO"/>
    <s v="Coahuila"/>
    <x v="1"/>
    <s v="10:47"/>
    <m/>
    <d v="2019-03-11T00:00:00"/>
    <x v="0"/>
    <n v="33"/>
    <m/>
    <x v="1"/>
    <x v="1"/>
    <x v="1"/>
    <s v="17157"/>
    <x v="1"/>
    <m/>
  </r>
  <r>
    <s v="00000310161898"/>
    <s v="1"/>
    <s v="36868"/>
    <n v="3541.58"/>
    <n v="628.54"/>
    <n v="0"/>
    <n v="0"/>
    <n v="0"/>
    <n v="460"/>
    <n v="0"/>
    <n v="0"/>
    <n v="0"/>
    <n v="0"/>
    <n v="460"/>
    <n v="0"/>
    <n v="0"/>
    <n v="0"/>
    <n v="0"/>
    <n v="0"/>
    <s v="20190308"/>
    <s v="G.N.P. ARRENDAMIENTO Y ADMINISTRACION DE FLOTILLAS"/>
    <s v="3G1TA5CF3JL238350"/>
    <n v="20181231"/>
    <n v="20191230"/>
    <m/>
    <s v="62234"/>
    <s v="Cancelada"/>
    <s v="00000309844611"/>
    <s v="DISTRITO FEDERAL"/>
    <n v="2018"/>
    <s v="Privado"/>
    <s v="AVEO LT SEDAN W STD"/>
    <s v="0090607094"/>
    <s v="ADRIANA ZAVALA MADRIGAL"/>
    <s v="Terminado"/>
    <s v="CL CON POSTE"/>
    <s v="Veracruz"/>
    <x v="0"/>
    <s v="11:50"/>
    <m/>
    <d v="2019-03-08T00:00:00"/>
    <x v="0"/>
    <n v="33"/>
    <m/>
    <x v="1"/>
    <x v="1"/>
    <x v="2"/>
    <s v="18188"/>
    <x v="1"/>
    <s v="ADRIANA ZAVALA MADRIGAL"/>
  </r>
  <r>
    <s v="00000310155684"/>
    <s v="1"/>
    <s v="36868"/>
    <n v="9607.0499999999993"/>
    <n v="3371.71"/>
    <n v="0"/>
    <n v="0"/>
    <n v="1596"/>
    <n v="239.4"/>
    <n v="0"/>
    <n v="0"/>
    <n v="0"/>
    <n v="0"/>
    <n v="1835.4"/>
    <n v="1596"/>
    <n v="0"/>
    <n v="0"/>
    <n v="0"/>
    <n v="0"/>
    <s v="20190410"/>
    <s v="G.N.P. ARRENDAMIENTO Y ADMINISTRACION DE FLOTILLAS"/>
    <s v="3G1TB5CF1GL204767"/>
    <n v="20181231"/>
    <n v="20191230"/>
    <m/>
    <s v="62234"/>
    <s v="Cancelada"/>
    <s v="00000309844611"/>
    <s v="SINALOA"/>
    <n v="2016"/>
    <s v="Privado"/>
    <s v="AVEO F STD EE ABS A.AC. MP3 B/A 4P"/>
    <s v="0091719799"/>
    <m/>
    <s v="Terminado"/>
    <s v="DANO DE CRISTAL PARABRISAS  CR SMS  5533342954"/>
    <s v="Sinaloa"/>
    <x v="1"/>
    <s v="14:27"/>
    <m/>
    <d v="2019-04-10T00:00:00"/>
    <x v="0"/>
    <n v="33"/>
    <m/>
    <x v="2"/>
    <x v="1"/>
    <x v="3"/>
    <s v="16144"/>
    <x v="2"/>
    <m/>
  </r>
  <r>
    <s v="00000310161682"/>
    <s v="1"/>
    <s v="36868"/>
    <n v="0"/>
    <n v="1420.16"/>
    <n v="0"/>
    <n v="1420.16"/>
    <n v="64606.43"/>
    <n v="39897.410000000003"/>
    <n v="0"/>
    <n v="-7755"/>
    <n v="0"/>
    <n v="6578"/>
    <n v="103326.84"/>
    <n v="48306.68"/>
    <n v="16299.75"/>
    <n v="0"/>
    <n v="0"/>
    <n v="0"/>
    <s v="20190422"/>
    <s v="G.N.P. ARRENDAMIENTO Y ADMINISTRACION DE FLOTILLAS"/>
    <s v="3G1TA5CF2JL190596"/>
    <n v="20181231"/>
    <n v="20191230"/>
    <m/>
    <s v="62234"/>
    <s v="Vigente"/>
    <s v="00000309844611"/>
    <s v="VERACRUZ"/>
    <n v="2018"/>
    <s v="Privado"/>
    <s v="AVEO LT SEDAN W STD"/>
    <s v="0092023068"/>
    <s v="MANUEL DELGADO ESPINOZA"/>
    <s v="Pendiente"/>
    <s v="3RO EN LUGAR"/>
    <s v="Veracruz"/>
    <x v="0"/>
    <s v="12:06"/>
    <m/>
    <d v="2019-04-22T00:00:00"/>
    <x v="0"/>
    <n v="33"/>
    <m/>
    <x v="2"/>
    <x v="0"/>
    <x v="2"/>
    <s v="18170"/>
    <x v="3"/>
    <s v="MANUEL DELGADO ESPINOZA"/>
  </r>
  <r>
    <s v="00000310946546"/>
    <s v="1"/>
    <s v="36868"/>
    <n v="0"/>
    <n v="1156.29"/>
    <n v="0"/>
    <n v="0"/>
    <n v="0"/>
    <n v="-1305.45"/>
    <n v="0"/>
    <n v="-15658"/>
    <n v="0"/>
    <n v="3735"/>
    <n v="-13228.45"/>
    <n v="0"/>
    <n v="0"/>
    <n v="0"/>
    <n v="0"/>
    <n v="0"/>
    <s v="20190523"/>
    <s v="G.N.P. ARRENDAMIENTO Y ADMINISTRACION DE FLOTILLAS"/>
    <s v="JTDKDTB35K1624802"/>
    <n v="20190126"/>
    <n v="20191230"/>
    <m/>
    <s v="62234"/>
    <s v="Cancelada"/>
    <s v="00000309844611"/>
    <s v="DISTRITO FEDERAL"/>
    <n v="2019"/>
    <s v="Privado"/>
    <s v="TOYOTA PRIUS C L4 1.5 HB HYBRID CVT"/>
    <s v="0093077410"/>
    <s v="PATRICIA CORNEJO PERALTA"/>
    <s v="Reabierto"/>
    <s v="TOLEDO COLOR GRIS"/>
    <s v="Mexico"/>
    <x v="0"/>
    <s v="21:47"/>
    <m/>
    <d v="2019-05-23T00:00:00"/>
    <x v="0"/>
    <n v="33"/>
    <m/>
    <x v="3"/>
    <x v="0"/>
    <x v="4"/>
    <s v="19135"/>
    <x v="4"/>
    <s v="PATRICIA CORNEJO PERALTA"/>
  </r>
  <r>
    <s v="00000310160759"/>
    <s v="1"/>
    <s v="36868"/>
    <n v="0"/>
    <n v="409.77"/>
    <n v="0"/>
    <n v="409.77"/>
    <n v="0"/>
    <n v="338.85"/>
    <n v="0"/>
    <n v="0"/>
    <n v="0"/>
    <n v="2258.9699999999998"/>
    <n v="2597.8200000000002"/>
    <n v="0"/>
    <n v="0"/>
    <n v="0"/>
    <n v="0"/>
    <n v="0"/>
    <s v="20190614"/>
    <s v="G.N.P. ARRENDAMIENTO Y ADMINISTRACION DE FLOTILLAS"/>
    <s v="3G1TA5CFXJL201358"/>
    <n v="20181231"/>
    <n v="20191230"/>
    <m/>
    <s v="62234"/>
    <s v="Vigente"/>
    <s v="00000309844611"/>
    <s v="DISTRITO FEDERAL"/>
    <n v="2018"/>
    <s v="Privado"/>
    <s v="AVEO LT SEDAN W STD"/>
    <s v="0093797322"/>
    <m/>
    <s v="Pendiente"/>
    <s v="AUTOAJUSTE CR"/>
    <s v="Guerrero"/>
    <x v="1"/>
    <s v="14:44"/>
    <m/>
    <d v="2019-06-14T00:00:00"/>
    <x v="0"/>
    <n v="33"/>
    <m/>
    <x v="4"/>
    <x v="0"/>
    <x v="5"/>
    <s v="18106"/>
    <x v="5"/>
    <m/>
  </r>
  <r>
    <s v="00000310161328"/>
    <s v="1"/>
    <s v="36868"/>
    <n v="0"/>
    <n v="692.8"/>
    <n v="0"/>
    <n v="692.8"/>
    <n v="0"/>
    <n v="2794.35"/>
    <n v="0"/>
    <n v="0"/>
    <n v="0"/>
    <n v="18629"/>
    <n v="21423.35"/>
    <n v="0"/>
    <n v="0"/>
    <n v="0"/>
    <n v="0"/>
    <n v="0"/>
    <s v="20190624"/>
    <s v="G.N.P. ARRENDAMIENTO Y ADMINISTRACION DE FLOTILLAS"/>
    <s v="3G1TA5CF6JL189502"/>
    <n v="20181231"/>
    <n v="20191230"/>
    <m/>
    <s v="62234"/>
    <s v="Vigente"/>
    <s v="00000309844611"/>
    <s v="DURANGO"/>
    <n v="2018"/>
    <s v="Privado"/>
    <s v="AVEO LT SEDAN W STD"/>
    <s v="0094085776"/>
    <s v="LARRY GUTIERREZ RIVERA"/>
    <s v="Pendiente"/>
    <s v="COLISION CON OBJETO"/>
    <s v="Durango"/>
    <x v="0"/>
    <s v="05:58"/>
    <m/>
    <d v="2019-06-24T00:00:00"/>
    <x v="0"/>
    <n v="33"/>
    <m/>
    <x v="4"/>
    <x v="0"/>
    <x v="6"/>
    <s v="18145"/>
    <x v="6"/>
    <s v="LARRY GUTIERREZ RIVERA"/>
  </r>
  <r>
    <s v="00000310161906"/>
    <s v="1"/>
    <s v="36868"/>
    <n v="0"/>
    <n v="409.77"/>
    <n v="0"/>
    <n v="409.77"/>
    <n v="0"/>
    <n v="1256.6099999999999"/>
    <n v="0"/>
    <n v="-15658"/>
    <n v="0"/>
    <n v="24035.37"/>
    <n v="9633.98"/>
    <n v="0"/>
    <n v="0"/>
    <n v="0"/>
    <n v="0"/>
    <n v="0"/>
    <s v="20190618"/>
    <s v="G.N.P. ARRENDAMIENTO Y ADMINISTRACION DE FLOTILLAS"/>
    <s v="3G1TA5CF3JL239241"/>
    <n v="20181231"/>
    <n v="20191230"/>
    <m/>
    <s v="62234"/>
    <s v="Vigente"/>
    <s v="00000309844611"/>
    <s v="DISTRITO FEDERAL"/>
    <n v="2018"/>
    <s v="Privado"/>
    <s v="AVEO LT SEDAN W STD"/>
    <s v="0093915494"/>
    <m/>
    <s v="Reabierto"/>
    <s v="3ERO EN LUGAR"/>
    <s v="Sinaloa"/>
    <x v="0"/>
    <s v="15:29"/>
    <m/>
    <d v="2019-06-18T00:00:00"/>
    <x v="0"/>
    <n v="33"/>
    <m/>
    <x v="4"/>
    <x v="1"/>
    <x v="3"/>
    <s v="18189"/>
    <x v="2"/>
    <m/>
  </r>
  <r>
    <s v="00000310159017"/>
    <s v="1"/>
    <s v="36868"/>
    <n v="0"/>
    <n v="393.87"/>
    <n v="0"/>
    <n v="393.87"/>
    <n v="0"/>
    <n v="17698.5"/>
    <n v="0"/>
    <n v="0"/>
    <n v="0"/>
    <n v="117990"/>
    <n v="135688.5"/>
    <n v="0"/>
    <n v="0"/>
    <n v="0"/>
    <n v="0"/>
    <n v="0"/>
    <s v="20190724"/>
    <s v="G.N.P. ARRENDAMIENTO Y ADMINISTRACION DE FLOTILLAS"/>
    <s v="3G1TB5CF6HL165756"/>
    <n v="20181231"/>
    <n v="20191230"/>
    <m/>
    <s v="62234"/>
    <s v="Vigente"/>
    <s v="00000309844611"/>
    <s v="DISTRITO FEDERAL"/>
    <n v="2017"/>
    <s v="Privado"/>
    <s v="AVEO F STD EE ABS A.AC. MP3 B/A 4P"/>
    <s v="0095102315"/>
    <s v="G.N.P. ARRENDAMIENTO Y ADMINISTRACION DE FLOTILLAS, S.A. DEC.V."/>
    <s v="Reabierto"/>
    <s v="INCENDIO"/>
    <s v="Chihuahua"/>
    <x v="2"/>
    <s v="16:04"/>
    <m/>
    <d v="2019-07-24T00:00:00"/>
    <x v="1"/>
    <n v="33"/>
    <m/>
    <x v="5"/>
    <x v="0"/>
    <x v="7"/>
    <s v="17182"/>
    <x v="5"/>
    <s v="G.N.P. ARRENDAMIENTO Y ADMINISTRACION DE FLOTILLAS, S.A. DEC.V."/>
  </r>
  <r>
    <s v="00000310946553"/>
    <s v="1"/>
    <s v="36868"/>
    <n v="0"/>
    <n v="587.62"/>
    <n v="0"/>
    <n v="0"/>
    <n v="18217"/>
    <n v="2732.55"/>
    <n v="0"/>
    <n v="0"/>
    <n v="0"/>
    <n v="0"/>
    <n v="20949.55"/>
    <n v="0"/>
    <n v="0"/>
    <n v="0"/>
    <n v="18217"/>
    <n v="0"/>
    <s v="20190722"/>
    <s v="G.N.P. ARRENDAMIENTO Y ADMINISTRACION DE FLOTILLAS"/>
    <s v="JTDKDTB37K1624798"/>
    <n v="20190126"/>
    <n v="20191230"/>
    <m/>
    <s v="62234"/>
    <s v="Cancelada"/>
    <s v="00000309844611"/>
    <s v="DISTRITO FEDERAL"/>
    <n v="2019"/>
    <s v="Privado"/>
    <s v="TOYOTA PRIUS C L4 1.5 HB HYBRID CVT"/>
    <s v="0094999992"/>
    <s v="JONATHAN RAMIREZ AGUIRRE"/>
    <s v="Terminado"/>
    <s v="HAY 3RO"/>
    <s v="Distrito Federal"/>
    <x v="0"/>
    <s v="08:38"/>
    <m/>
    <d v="2019-07-22T00:00:00"/>
    <x v="0"/>
    <n v="33"/>
    <m/>
    <x v="5"/>
    <x v="0"/>
    <x v="4"/>
    <s v="19136"/>
    <x v="7"/>
    <s v="JONATHAN RAMIREZ AGUIRRE"/>
  </r>
  <r>
    <s v="00000316255587"/>
    <s v="1"/>
    <s v="36868"/>
    <n v="0"/>
    <n v="587.80999999999995"/>
    <n v="0"/>
    <n v="0"/>
    <n v="0"/>
    <n v="986.7"/>
    <n v="0"/>
    <n v="0"/>
    <n v="0"/>
    <n v="6578"/>
    <n v="7564.7"/>
    <n v="0"/>
    <n v="0"/>
    <n v="0"/>
    <n v="0"/>
    <n v="0"/>
    <s v="20190701"/>
    <s v="G.N.P. ARRENDAMIENTO Y ADMINISTRACION DE FLOTILLAS"/>
    <s v="JTDKDTB34K1625343"/>
    <n v="20190227"/>
    <n v="20191230"/>
    <m/>
    <s v="62234"/>
    <s v="Cancelada"/>
    <s v="00000309844611"/>
    <s v="DISTRITO FEDERAL"/>
    <n v="2019"/>
    <s v="Privado"/>
    <s v="TOYOTA PRIUS C L4 1.5 HB HYBRID CVT"/>
    <s v="0094351350"/>
    <m/>
    <s v="Pendiente"/>
    <s v="3ERO MAZDA BLANCO"/>
    <s v="Distrito Federal"/>
    <x v="0"/>
    <s v="17:54"/>
    <m/>
    <d v="2019-07-01T00:00:00"/>
    <x v="0"/>
    <n v="33"/>
    <m/>
    <x v="5"/>
    <x v="1"/>
    <x v="4"/>
    <s v="19189"/>
    <x v="8"/>
    <m/>
  </r>
  <r>
    <s v="00000264964016"/>
    <s v="1"/>
    <s v="36868"/>
    <n v="0"/>
    <n v="1255.29"/>
    <n v="0"/>
    <n v="0"/>
    <n v="0"/>
    <n v="-1788.45"/>
    <n v="0"/>
    <n v="-15658"/>
    <n v="0"/>
    <n v="3735"/>
    <n v="-13711.45"/>
    <n v="0"/>
    <n v="0"/>
    <n v="0"/>
    <n v="0"/>
    <n v="0"/>
    <s v="20180601"/>
    <s v="G.N.P. ARRENDAMIENTO Y ADMINISTRACION DE FLOTILLAS"/>
    <s v="3G1TA5AF1EL160840"/>
    <n v="20171231"/>
    <n v="20181230"/>
    <m/>
    <s v="60250"/>
    <s v="Cancelada"/>
    <s v="00000264753815"/>
    <s v="DISTRITO FEDERAL"/>
    <n v="2014"/>
    <s v="Privado"/>
    <s v="AVEO B STD"/>
    <s v="0077947778"/>
    <s v="DANIEL RODEA SANTOS"/>
    <s v="Terminado"/>
    <s v="3ERO GENERAL MOTORS ACADIA GRIS"/>
    <s v="Mexico"/>
    <x v="0"/>
    <s v="09:07"/>
    <s v="RIO SAN JAVIER"/>
    <d v="2018-01-24T00:00:00"/>
    <x v="0"/>
    <n v="33"/>
    <s v="ASEGURADO"/>
    <x v="6"/>
    <x v="2"/>
    <x v="8"/>
    <m/>
    <x v="9"/>
    <s v="DANIEL RODEA SANTOS"/>
  </r>
  <r>
    <s v="00000264964149"/>
    <s v="1"/>
    <s v="36868"/>
    <n v="-2458.75"/>
    <n v="-325.5"/>
    <n v="0"/>
    <n v="0"/>
    <n v="0"/>
    <n v="-1788.45"/>
    <n v="0"/>
    <n v="-15658"/>
    <n v="0"/>
    <n v="3735"/>
    <n v="-13711.45"/>
    <n v="0"/>
    <n v="0"/>
    <n v="0"/>
    <n v="0"/>
    <n v="0"/>
    <s v="20180410"/>
    <s v="G.N.P. ARRENDAMIENTO Y ADMINISTRACION DE FLOTILLAS"/>
    <s v="3G1TA5AFXEL159668"/>
    <n v="20171231"/>
    <n v="20181230"/>
    <m/>
    <s v="60250"/>
    <s v="Vigente"/>
    <s v="00000264753815"/>
    <s v="NUEVO LEON"/>
    <n v="2017"/>
    <s v="Privado"/>
    <s v="AVEO &quot;F&quot; STD EE ABS A.AC. MP3 B/A 4P"/>
    <s v="0077944502"/>
    <m/>
    <s v="Reabierto"/>
    <s v="SD"/>
    <s v="NUEVO LEON"/>
    <x v="0"/>
    <s v="13:29"/>
    <s v="RICARDO MARGAIN 0"/>
    <d v="2018-01-03T00:00:00"/>
    <x v="0"/>
    <n v="33"/>
    <m/>
    <x v="6"/>
    <x v="2"/>
    <x v="8"/>
    <m/>
    <x v="9"/>
    <m/>
  </r>
  <r>
    <s v="00000264964198"/>
    <s v="1"/>
    <s v="36868"/>
    <n v="0"/>
    <n v="545.92999999999995"/>
    <n v="0"/>
    <n v="0"/>
    <n v="0"/>
    <n v="3450"/>
    <n v="0"/>
    <n v="0"/>
    <n v="0"/>
    <n v="0"/>
    <n v="3450"/>
    <n v="0"/>
    <n v="0"/>
    <n v="0"/>
    <n v="0"/>
    <n v="0"/>
    <s v="20180625"/>
    <s v="G.N.P. ARRENDAMIENTO Y ADMINISTRACION DE FLOTILLAS"/>
    <s v="3G1TA5AF3EL168891"/>
    <n v="20171231"/>
    <n v="20181230"/>
    <m/>
    <s v="60250"/>
    <s v="Vigente"/>
    <s v="00000264775123"/>
    <s v="DISTRITO FEDERAL"/>
    <n v="2013"/>
    <s v="Grua"/>
    <s v="ISUZU ELF 400 CHASIS CABINA K STD"/>
    <s v="0078120920"/>
    <m/>
    <s v="Terminado"/>
    <s v="3RO EN EL LUGAR TAXY"/>
    <s v="Distrito Federal"/>
    <x v="0"/>
    <s v="11:03"/>
    <s v="UNIVERSIDAD 0"/>
    <d v="2018-01-04T00:00:00"/>
    <x v="0"/>
    <n v="33"/>
    <m/>
    <x v="6"/>
    <x v="2"/>
    <x v="8"/>
    <m/>
    <x v="9"/>
    <m/>
  </r>
  <r>
    <s v="00000264964222"/>
    <s v="1"/>
    <s v="36868"/>
    <n v="6410.33"/>
    <n v="1039.04"/>
    <n v="6410.33"/>
    <n v="6410.33"/>
    <n v="15658"/>
    <n v="2348.6999999999998"/>
    <n v="0"/>
    <n v="0"/>
    <n v="0"/>
    <n v="0"/>
    <n v="18006.7"/>
    <n v="0"/>
    <n v="0"/>
    <n v="0"/>
    <n v="15658"/>
    <n v="0"/>
    <s v="20180124"/>
    <s v="G.N.P. ARRENDAMIENTO Y ADMINISTRACION DE FLOTILLAS"/>
    <s v="3G1TA5AFXEL170234"/>
    <n v="20171231"/>
    <n v="20181230"/>
    <m/>
    <s v="60250"/>
    <s v="Vigente"/>
    <s v="00000264753815"/>
    <s v="PUEBLA"/>
    <n v="2016"/>
    <s v="Privado"/>
    <s v="AVEO &quot;F&quot; STD EE ABS A.AC. MP3 B/A 4P"/>
    <s v="0078030830"/>
    <m/>
    <s v="Reabierto"/>
    <s v="DANO DE CRISTAL  LATERAL"/>
    <s v="PUEBLA"/>
    <x v="0"/>
    <s v="08:54"/>
    <s v="31 ORIENTE 0"/>
    <d v="2018-01-05T00:00:00"/>
    <x v="0"/>
    <n v="33"/>
    <m/>
    <x v="6"/>
    <x v="2"/>
    <x v="8"/>
    <m/>
    <x v="9"/>
    <m/>
  </r>
  <r>
    <s v="00000264964339"/>
    <s v="1"/>
    <s v="36868"/>
    <n v="0"/>
    <n v="2253.4299999999998"/>
    <n v="4531.72"/>
    <n v="4531.72"/>
    <n v="2482"/>
    <n v="22481.48"/>
    <n v="0"/>
    <n v="0"/>
    <n v="0"/>
    <n v="27004.85"/>
    <n v="51968.33"/>
    <n v="2482"/>
    <n v="0"/>
    <n v="0"/>
    <n v="0"/>
    <n v="0"/>
    <s v="20180206"/>
    <s v="G.N.P. ARRENDAMIENTO Y ADMINISTRACION DE FLOTILLAS"/>
    <s v="3G1TA5AF5FL144884"/>
    <n v="20171231"/>
    <n v="20181230"/>
    <m/>
    <s v="60250"/>
    <s v="Vigente"/>
    <s v="00000264753815"/>
    <s v="NUEVO LEON"/>
    <n v="2017"/>
    <s v="Privado"/>
    <s v="AVEO &quot;F&quot; STD EE ABS A.AC. MP3 B/A 4P"/>
    <s v="0079564068"/>
    <m/>
    <s v="Terminado"/>
    <s v="TAXI TSURU"/>
    <s v="NUEVO LEON"/>
    <x v="0"/>
    <s v="08:18"/>
    <s v="RICARDO MARGAIN 0"/>
    <d v="2018-01-05T00:00:00"/>
    <x v="0"/>
    <n v="33"/>
    <m/>
    <x v="6"/>
    <x v="2"/>
    <x v="8"/>
    <m/>
    <x v="9"/>
    <m/>
  </r>
  <r>
    <s v="00000264964396"/>
    <s v="1"/>
    <s v="36868"/>
    <n v="0"/>
    <n v="1360.03"/>
    <n v="0"/>
    <n v="0"/>
    <n v="86729.37"/>
    <n v="9888.2099999999991"/>
    <n v="0"/>
    <n v="-20808"/>
    <n v="0"/>
    <n v="0"/>
    <n v="75809.58"/>
    <n v="81579.37"/>
    <n v="5150"/>
    <n v="0"/>
    <n v="0"/>
    <n v="0"/>
    <s v="20180709"/>
    <s v="G.N.P. ARRENDAMIENTO Y ADMINISTRACION DE FLOTILLAS"/>
    <s v="3G1TB5CF6GL193233"/>
    <n v="20171231"/>
    <n v="20181230"/>
    <m/>
    <s v="60250"/>
    <s v="Vigente"/>
    <s v="00000264753815"/>
    <s v="DISTRITO FEDERAL"/>
    <n v="2016"/>
    <s v="Privado"/>
    <s v="AVEO &quot;F&quot; STD EE ABS A.AC. MP3 B/A 4P"/>
    <s v="0077975670"/>
    <m/>
    <s v="Terminado"/>
    <s v="SI HAY 3RO MAZDA 3 ROJO"/>
    <s v="Distrito Federal"/>
    <x v="0"/>
    <s v="04:06"/>
    <s v="PRESA DON MARTIN 0"/>
    <d v="2018-01-06T00:00:00"/>
    <x v="0"/>
    <n v="33"/>
    <m/>
    <x v="6"/>
    <x v="2"/>
    <x v="8"/>
    <m/>
    <x v="9"/>
    <m/>
  </r>
  <r>
    <s v="00000264964438"/>
    <s v="1"/>
    <s v="36868"/>
    <n v="0"/>
    <n v="1996.29"/>
    <n v="0"/>
    <n v="0"/>
    <n v="53365.07"/>
    <n v="8637.26"/>
    <n v="0"/>
    <n v="0"/>
    <n v="0"/>
    <n v="0"/>
    <n v="62002.33"/>
    <n v="27913.65"/>
    <n v="0"/>
    <n v="0"/>
    <n v="25451.42"/>
    <n v="0"/>
    <s v="20180808"/>
    <s v="G.N.P. ARRENDAMIENTO Y ADMINISTRACION DE FLOTILLAS"/>
    <s v="3G1TB5CF0GL192031"/>
    <n v="20171231"/>
    <n v="20181230"/>
    <m/>
    <s v="60250"/>
    <s v="Vigente"/>
    <s v="00000264753815"/>
    <s v="COAHUILA"/>
    <n v="2016"/>
    <s v="Privado"/>
    <s v="AVEO &quot;F&quot; STD EE ABS A.AC. MP3 B/A 4P"/>
    <s v="0077925204"/>
    <m/>
    <s v="Terminado"/>
    <s v="SI HAY 3RO"/>
    <s v="Coahuila"/>
    <x v="0"/>
    <s v="08:40"/>
    <s v="VASCONCELOS 0"/>
    <d v="2018-01-09T00:00:00"/>
    <x v="0"/>
    <n v="33"/>
    <m/>
    <x v="6"/>
    <x v="2"/>
    <x v="8"/>
    <m/>
    <x v="9"/>
    <m/>
  </r>
  <r>
    <s v="00000264964453"/>
    <s v="1"/>
    <s v="36868"/>
    <n v="0"/>
    <n v="2415.25"/>
    <n v="0"/>
    <n v="0"/>
    <n v="24396.880000000001"/>
    <n v="3603.11"/>
    <n v="0"/>
    <n v="-5890"/>
    <n v="0"/>
    <n v="0"/>
    <n v="22109.99"/>
    <n v="24396.880000000001"/>
    <n v="0"/>
    <n v="0"/>
    <n v="0"/>
    <n v="0"/>
    <s v="20180323"/>
    <s v="G.N.P. ARRENDAMIENTO Y ADMINISTRACION DE FLOTILLAS"/>
    <s v="3G1TB5CF1GL196878"/>
    <n v="20171231"/>
    <n v="20181230"/>
    <m/>
    <s v="60250"/>
    <s v="Vigente"/>
    <s v="00000264753815"/>
    <s v="COAHUILA"/>
    <n v="2017"/>
    <s v="Privado"/>
    <s v="AVEO &quot;F&quot; STD EE ABS A.AC. MP3 B/A 4P"/>
    <s v="0077925345"/>
    <m/>
    <s v="Reabierto"/>
    <s v="IMPACTA CON RANGER Y EL AJ JACOBO IZA 0704 YA ESTA EN EL LUGAR POL  00000239947005"/>
    <s v="Coahuila"/>
    <x v="0"/>
    <s v="12:35"/>
    <s v="LERDO DE TEJADA 0"/>
    <d v="2018-01-09T00:00:00"/>
    <x v="0"/>
    <n v="33"/>
    <m/>
    <x v="6"/>
    <x v="2"/>
    <x v="8"/>
    <m/>
    <x v="9"/>
    <m/>
  </r>
  <r>
    <s v="00000264964594"/>
    <s v="1"/>
    <s v="36868"/>
    <n v="0"/>
    <n v="843.3"/>
    <n v="0"/>
    <n v="0"/>
    <n v="0"/>
    <n v="0"/>
    <n v="0"/>
    <n v="0"/>
    <n v="0"/>
    <n v="0"/>
    <n v="0"/>
    <n v="0"/>
    <n v="0"/>
    <n v="0"/>
    <n v="0"/>
    <n v="0"/>
    <s v="20180305"/>
    <s v="G.N.P. ARRENDAMIENTO Y ADMINISTRACION DE FLOTILLAS"/>
    <s v="3G1TB5CF3GL195330"/>
    <n v="20171231"/>
    <n v="20181230"/>
    <m/>
    <s v="60250"/>
    <s v="Vigente"/>
    <s v="00000264753815"/>
    <s v="ESTADO DE MEXICO"/>
    <n v="2017"/>
    <s v="Privado"/>
    <s v="AVEO &quot;F&quot; STD EE ABS A.AC. MP3 B/A 4P"/>
    <s v="0078141454"/>
    <m/>
    <s v="Pendiente"/>
    <s v="NA COL CON OBJETOS"/>
    <s v="Mexico"/>
    <x v="0"/>
    <s v="14:29"/>
    <s v="LEONA VICARIO 1232"/>
    <d v="2018-01-12T00:00:00"/>
    <x v="0"/>
    <n v="33"/>
    <m/>
    <x v="6"/>
    <x v="2"/>
    <x v="8"/>
    <m/>
    <x v="9"/>
    <m/>
  </r>
  <r>
    <s v="00000264964602"/>
    <s v="1"/>
    <s v="36868"/>
    <n v="0"/>
    <n v="2529.69"/>
    <n v="0"/>
    <n v="0"/>
    <n v="430"/>
    <n v="51.6"/>
    <n v="0"/>
    <n v="-86"/>
    <n v="0"/>
    <n v="0"/>
    <n v="395.6"/>
    <n v="430"/>
    <n v="0"/>
    <n v="0"/>
    <n v="0"/>
    <n v="0"/>
    <s v="20180509"/>
    <s v="G.N.P. ARRENDAMIENTO Y ADMINISTRACION DE FLOTILLAS"/>
    <s v="3G1TB5CF3GL197157"/>
    <n v="20171231"/>
    <n v="20181230"/>
    <m/>
    <s v="60250"/>
    <s v="Vigente"/>
    <s v="00000264753815"/>
    <s v="NUEVO LEON"/>
    <n v="2017"/>
    <s v="Privado"/>
    <s v="AVEO &quot;F&quot; STD EE ABS A.AC. MP3 B/A 4P"/>
    <s v="0077971364"/>
    <m/>
    <s v="Reabierto"/>
    <s v="SI HAY 3ERO NISSAN VERSA AZUL"/>
    <s v="NUEVO LEON"/>
    <x v="0"/>
    <s v="10:30"/>
    <s v="LOPEZ MATEOS 0"/>
    <d v="2018-01-12T00:00:00"/>
    <x v="0"/>
    <n v="33"/>
    <m/>
    <x v="6"/>
    <x v="2"/>
    <x v="8"/>
    <m/>
    <x v="9"/>
    <m/>
  </r>
  <r>
    <s v="00000264964610"/>
    <s v="1"/>
    <s v="36868"/>
    <n v="0"/>
    <n v="617"/>
    <n v="0"/>
    <n v="0"/>
    <n v="0"/>
    <n v="-1836.22"/>
    <n v="0"/>
    <n v="-15658"/>
    <n v="0"/>
    <n v="3416.51"/>
    <n v="-14077.71"/>
    <n v="0"/>
    <n v="0"/>
    <n v="0"/>
    <n v="0"/>
    <n v="0"/>
    <s v="20181203"/>
    <s v="G.N.P. ARRENDAMIENTO Y ADMINISTRACION DE FLOTILLAS"/>
    <s v="3G1TB5CF3GL197191"/>
    <n v="20171231"/>
    <n v="20181230"/>
    <m/>
    <s v="60250"/>
    <s v="Vigente"/>
    <s v="00000264753815"/>
    <s v="DISTRITO FEDERAL"/>
    <n v="2016"/>
    <s v="Privado"/>
    <s v="AVEO &quot;F&quot; STD EE ABS A.AC. MP3 B/A 4P"/>
    <s v="0079573663"/>
    <m/>
    <s v="Reabierto"/>
    <s v="Y EL AJ DIEGO PEDRAZA 595 YA SE ENCUENTRA EN EL LUGAR  NA POL CARTA COBERTURA GNP ARRENDAMIENTO"/>
    <s v="Distrito Federal"/>
    <x v="0"/>
    <s v="13:40"/>
    <s v="PRESA DE LA ANGOSTURA 76"/>
    <d v="2018-01-15T00:00:00"/>
    <x v="0"/>
    <n v="33"/>
    <m/>
    <x v="6"/>
    <x v="2"/>
    <x v="8"/>
    <m/>
    <x v="9"/>
    <m/>
  </r>
  <r>
    <s v="00000264964628"/>
    <s v="1"/>
    <s v="36868"/>
    <n v="0"/>
    <n v="408.05"/>
    <n v="0"/>
    <n v="0"/>
    <n v="0"/>
    <n v="-2348.6999999999998"/>
    <n v="0"/>
    <n v="-15658"/>
    <n v="0"/>
    <n v="0"/>
    <n v="-18006.7"/>
    <n v="0"/>
    <n v="0"/>
    <n v="0"/>
    <n v="0"/>
    <n v="0"/>
    <s v="20180911"/>
    <s v="G.N.P. ARRENDAMIENTO Y ADMINISTRACION DE FLOTILLAS"/>
    <s v="3G1TB5CF4GL194767"/>
    <n v="20171231"/>
    <n v="20181230"/>
    <m/>
    <s v="60250"/>
    <s v="Vigente"/>
    <s v="00000264753815"/>
    <s v="MICHOACAN"/>
    <n v="2016"/>
    <s v="Privado"/>
    <s v="AVEO &quot;F&quot; STD EE ABS A.AC. MP3 B/A 4P"/>
    <s v="0078983764"/>
    <m/>
    <s v="Reabierto"/>
    <s v="VS CHEVROLET TORNADO COLOR BLANCO AJUSTADOR 5602.VICTOR DANIEL OLMEDO VA AL LUGAR"/>
    <s v="MICHOACAN"/>
    <x v="0"/>
    <s v="09:00"/>
    <s v="AV CAMELINAS 0"/>
    <d v="2018-01-16T00:00:00"/>
    <x v="0"/>
    <n v="33"/>
    <m/>
    <x v="6"/>
    <x v="2"/>
    <x v="8"/>
    <m/>
    <x v="9"/>
    <m/>
  </r>
  <r>
    <s v="00000264964636"/>
    <s v="1"/>
    <s v="36868"/>
    <n v="0"/>
    <n v="2067.44"/>
    <n v="0"/>
    <n v="0"/>
    <n v="35485.019999999997"/>
    <n v="9917.68"/>
    <n v="0"/>
    <n v="0"/>
    <n v="0"/>
    <n v="7632.87"/>
    <n v="53035.57"/>
    <n v="19827.02"/>
    <n v="0"/>
    <n v="0"/>
    <n v="15658"/>
    <n v="0"/>
    <s v="20180317"/>
    <s v="G.N.P. ARRENDAMIENTO Y ADMINISTRACION DE FLOTILLAS"/>
    <s v="3G1TB5CF4GL195465"/>
    <n v="20171231"/>
    <n v="20181230"/>
    <m/>
    <s v="60250"/>
    <s v="Vigente"/>
    <s v="00000264753815"/>
    <s v="COAHUILA"/>
    <n v="2016"/>
    <s v="Privado"/>
    <s v="AVEO &quot;F&quot; STD EE ABS A.AC. MP3 B/A 4P"/>
    <s v="0077925253"/>
    <m/>
    <s v="Pendiente"/>
    <s v="3RO EN LUGAR. NEON GRIS"/>
    <s v="Coahuila"/>
    <x v="0"/>
    <s v="10:06"/>
    <s v="DIAGONAL REFORMA 0"/>
    <d v="2018-01-17T00:00:00"/>
    <x v="0"/>
    <n v="33"/>
    <m/>
    <x v="6"/>
    <x v="2"/>
    <x v="8"/>
    <m/>
    <x v="9"/>
    <m/>
  </r>
  <r>
    <s v="00000264964677"/>
    <s v="1"/>
    <s v="36868"/>
    <n v="0"/>
    <n v="806.33"/>
    <n v="0"/>
    <n v="0"/>
    <n v="18580.96"/>
    <n v="1587.14"/>
    <n v="0"/>
    <n v="-8000"/>
    <n v="0"/>
    <n v="0"/>
    <n v="12168.1"/>
    <n v="18580.96"/>
    <n v="0"/>
    <n v="0"/>
    <n v="0"/>
    <n v="0"/>
    <s v="20181012"/>
    <s v="G.N.P. ARRENDAMIENTO Y ADMINISTRACION DE FLOTILLAS"/>
    <s v="3G1TB5CF7GL195282"/>
    <n v="20171231"/>
    <n v="20181230"/>
    <m/>
    <s v="60250"/>
    <s v="Vigente"/>
    <s v="00000264774621"/>
    <s v="DISTRITO FEDERAL"/>
    <n v="2014"/>
    <s v="Ambulancia"/>
    <s v="FORD F-350 SUPER DUTY XL"/>
    <s v="0081787640"/>
    <m/>
    <s v="Terminado"/>
    <s v="SI HAY 3RO MORADO PEUGEOT"/>
    <s v="Mexico"/>
    <x v="0"/>
    <s v="20:22"/>
    <s v="LOMAS VERDES 0"/>
    <d v="2018-01-17T00:00:00"/>
    <x v="0"/>
    <n v="33"/>
    <m/>
    <x v="6"/>
    <x v="2"/>
    <x v="8"/>
    <m/>
    <x v="9"/>
    <m/>
  </r>
  <r>
    <s v="00000264964693"/>
    <s v="1"/>
    <s v="36868"/>
    <n v="0"/>
    <n v="1254.56"/>
    <n v="0"/>
    <n v="0"/>
    <n v="15658"/>
    <n v="2348.6999999999998"/>
    <n v="0"/>
    <n v="0"/>
    <n v="0"/>
    <n v="0"/>
    <n v="18006.7"/>
    <n v="0"/>
    <n v="0"/>
    <n v="0"/>
    <n v="15658"/>
    <n v="0"/>
    <s v="20180417"/>
    <s v="G.N.P. ARRENDAMIENTO Y ADMINISTRACION DE FLOTILLAS"/>
    <s v="3G1TB5CF7GL197193"/>
    <n v="20171231"/>
    <n v="20181230"/>
    <m/>
    <s v="60250"/>
    <s v="Vigente"/>
    <s v="00000264753815"/>
    <s v="CHIAPAS"/>
    <n v="2017"/>
    <s v="Privado"/>
    <s v="AVEO &quot;F&quot; STD EE ABS A.AC. MP3 B/A 4P"/>
    <s v="0078978285"/>
    <m/>
    <s v="Terminado"/>
    <s v="SI HAY 3ERO CRYSLER 300C COLOR AZUL"/>
    <s v="CHIAPAS"/>
    <x v="0"/>
    <s v="16:13"/>
    <s v="AJUSTADOR PRESENTE 0"/>
    <d v="2018-01-18T00:00:00"/>
    <x v="0"/>
    <n v="33"/>
    <m/>
    <x v="6"/>
    <x v="2"/>
    <x v="8"/>
    <m/>
    <x v="9"/>
    <m/>
  </r>
  <r>
    <s v="00000264964719"/>
    <s v="1"/>
    <s v="36868"/>
    <n v="0"/>
    <n v="1892.13"/>
    <n v="0"/>
    <n v="0"/>
    <n v="12365.87"/>
    <n v="2145.48"/>
    <n v="0"/>
    <n v="-6496"/>
    <n v="0"/>
    <n v="0"/>
    <n v="8015.35"/>
    <n v="12365.87"/>
    <n v="0"/>
    <n v="0"/>
    <n v="0"/>
    <n v="0"/>
    <s v="20180319"/>
    <s v="G.N.P. ARRENDAMIENTO Y ADMINISTRACION DE FLOTILLAS"/>
    <s v="3G1TB5CF8GL197106"/>
    <n v="20171231"/>
    <n v="20181230"/>
    <m/>
    <s v="60250"/>
    <s v="Vigente"/>
    <s v="00000264758509"/>
    <s v="DISTRITO FEDERAL"/>
    <n v="2013"/>
    <s v="Ambulancia"/>
    <s v="FORD F-350 SUPER DUTY XL"/>
    <s v="0077916997"/>
    <s v="RAUL CORONA GARCIA"/>
    <s v="Pendiente"/>
    <s v="SI HAY 3RO"/>
    <s v="Distrito Federal"/>
    <x v="0"/>
    <s v="11:02"/>
    <s v="BENJAMIN FLANKLYN"/>
    <d v="2018-01-23T00:00:00"/>
    <x v="0"/>
    <n v="33"/>
    <s v="TERCERO"/>
    <x v="6"/>
    <x v="2"/>
    <x v="8"/>
    <m/>
    <x v="9"/>
    <s v="RAUL CORONA GARCIA"/>
  </r>
  <r>
    <s v="00000264964719"/>
    <s v="1"/>
    <s v="36868"/>
    <n v="0"/>
    <n v="1254.56"/>
    <n v="0"/>
    <n v="0"/>
    <n v="9663.07"/>
    <n v="-899.24"/>
    <n v="0"/>
    <n v="-15658"/>
    <n v="0"/>
    <n v="0"/>
    <n v="-6894.17"/>
    <n v="9663.07"/>
    <n v="0"/>
    <n v="0"/>
    <n v="0"/>
    <n v="0"/>
    <s v="20180604"/>
    <s v="G.N.P. ARRENDAMIENTO Y ADMINISTRACION DE FLOTILLAS"/>
    <s v="3G1TB5CF8GL197106"/>
    <n v="20171231"/>
    <n v="20181230"/>
    <m/>
    <s v="60250"/>
    <s v="Vigente"/>
    <s v="00000264753815"/>
    <s v="DISTRITO FEDERAL"/>
    <n v="2017"/>
    <s v="Privado"/>
    <s v="AVEO &quot;F&quot; STD EE ABS A.AC. MP3 B/A 4P"/>
    <s v="0077950160"/>
    <s v="JHONATAN CARLOS GAMBOA BALLADO"/>
    <s v="Pendiente"/>
    <s v="SI HAY TERCERO AUDI BLANCO"/>
    <s v="Distrito Federal"/>
    <x v="0"/>
    <s v="09:53"/>
    <s v="SUR 8"/>
    <d v="2018-01-24T00:00:00"/>
    <x v="0"/>
    <n v="33"/>
    <s v="TERCERO"/>
    <x v="6"/>
    <x v="2"/>
    <x v="8"/>
    <m/>
    <x v="9"/>
    <s v="JHONATAN CARLOS GAMBOA BALLADO"/>
  </r>
  <r>
    <s v="00000264964719"/>
    <s v="1"/>
    <s v="36868"/>
    <n v="0"/>
    <n v="0"/>
    <n v="0"/>
    <n v="0"/>
    <n v="15658"/>
    <n v="2348.6999999999998"/>
    <n v="0"/>
    <n v="0"/>
    <n v="0"/>
    <n v="0"/>
    <n v="18006.7"/>
    <n v="0"/>
    <n v="0"/>
    <n v="0"/>
    <n v="15658"/>
    <n v="0"/>
    <s v="20180823"/>
    <s v="G.N.P. ARRENDAMIENTO Y ADMINISTRACION DE FLOTILLAS"/>
    <s v="3G1TB5CF8GL197106"/>
    <n v="20171231"/>
    <n v="20181230"/>
    <m/>
    <s v="60250"/>
    <s v="Vigente"/>
    <s v="00000264753815"/>
    <s v="TABASCO"/>
    <n v="2017"/>
    <s v="Privado"/>
    <s v="AVEO &quot;F&quot; STD EE ABS A.AC. MP3 B/A 4P"/>
    <s v="0077945681"/>
    <m/>
    <s v="Pendiente"/>
    <s v="3ERO MAZDA TRIBUTE NEGRO."/>
    <s v="Coahuila"/>
    <x v="0"/>
    <s v="08:14"/>
    <s v="PASEO CENTRAL"/>
    <d v="2018-01-24T00:00:00"/>
    <x v="0"/>
    <n v="33"/>
    <m/>
    <x v="6"/>
    <x v="2"/>
    <x v="8"/>
    <m/>
    <x v="9"/>
    <m/>
  </r>
  <r>
    <s v="00000264964727"/>
    <s v="1"/>
    <s v="36868"/>
    <n v="0"/>
    <n v="617"/>
    <n v="0"/>
    <n v="0"/>
    <n v="15658"/>
    <n v="2348.6999999999998"/>
    <n v="0"/>
    <n v="0"/>
    <n v="0"/>
    <n v="0"/>
    <n v="18006.7"/>
    <n v="0"/>
    <n v="0"/>
    <n v="0"/>
    <n v="15658"/>
    <n v="0"/>
    <s v="20181211"/>
    <s v="G.N.P. ARRENDAMIENTO Y ADMINISTRACION DE FLOTILLAS"/>
    <s v="3G1TB5CF7GL201114"/>
    <n v="20171231"/>
    <n v="20181230"/>
    <m/>
    <s v="60250"/>
    <s v="Vigente"/>
    <s v="00000264753815"/>
    <s v="SAN LUIS POTOSI"/>
    <n v="2017"/>
    <s v="Privado"/>
    <s v="AVEO &quot;F&quot; STD EE ABS A.AC. MP3 B/A 4P"/>
    <s v="0077967917"/>
    <s v="HUMBERTO GARCIA CALDERON"/>
    <s v="Pendiente"/>
    <s v="3RO CAMIONETA PICK UP"/>
    <s v="GUANAJUATO"/>
    <x v="0"/>
    <s v="15:54"/>
    <s v="ZARAGOZA 215"/>
    <d v="2018-01-24T00:00:00"/>
    <x v="0"/>
    <n v="33"/>
    <m/>
    <x v="6"/>
    <x v="2"/>
    <x v="8"/>
    <m/>
    <x v="9"/>
    <s v="HUMBERTO GARCIA CALDERON"/>
  </r>
  <r>
    <s v="00000264964735"/>
    <s v="1"/>
    <s v="36868"/>
    <n v="0"/>
    <n v="437.72"/>
    <n v="0"/>
    <n v="0"/>
    <n v="0"/>
    <n v="-530.27"/>
    <n v="0"/>
    <n v="-11000"/>
    <n v="0"/>
    <n v="7464.84"/>
    <n v="-4065.43"/>
    <n v="0"/>
    <n v="0"/>
    <n v="0"/>
    <n v="0"/>
    <n v="0"/>
    <s v="20181120"/>
    <s v="G.N.P. ARRENDAMIENTO Y ADMINISTRACION DE FLOTILLAS"/>
    <s v="3G1TB5CF9GL198166"/>
    <n v="20171231"/>
    <n v="20181230"/>
    <m/>
    <s v="60250"/>
    <s v="Vigente"/>
    <s v="00000264753815"/>
    <s v="TAMAULIPAS"/>
    <n v="2016"/>
    <s v="Privado"/>
    <s v="AVEO &quot;F&quot; STD EE ABS A.AC. MP3 B/A 4P"/>
    <s v="0078000759"/>
    <s v="ROBERTO MENDEZ TORRES"/>
    <s v="Terminado"/>
    <s v="VH BLANCO"/>
    <s v="TAMAULIPAS"/>
    <x v="0"/>
    <s v="14:31"/>
    <s v="SANTO DOMINGO"/>
    <d v="2018-01-25T00:00:00"/>
    <x v="0"/>
    <n v="33"/>
    <s v="TERCERO"/>
    <x v="6"/>
    <x v="2"/>
    <x v="8"/>
    <m/>
    <x v="9"/>
    <s v="ROBERTO MENDEZ TORRES"/>
  </r>
  <r>
    <s v="00000264964768"/>
    <s v="1"/>
    <s v="36868"/>
    <n v="0"/>
    <n v="575.86"/>
    <n v="7486.23"/>
    <n v="7486.23"/>
    <n v="0"/>
    <n v="1035"/>
    <n v="0"/>
    <n v="0"/>
    <n v="0"/>
    <n v="0"/>
    <n v="1035"/>
    <n v="0"/>
    <n v="0"/>
    <n v="0"/>
    <n v="0"/>
    <n v="0"/>
    <s v="20180129"/>
    <s v="G.N.P. ARRENDAMIENTO Y ADMINISTRACION DE FLOTILLAS"/>
    <s v="3G1TB5CF2GL192290"/>
    <n v="20171231"/>
    <n v="20181230"/>
    <m/>
    <s v="60250"/>
    <s v="Vigente"/>
    <s v="00000264753815"/>
    <s v="DISTRITO FEDERAL"/>
    <n v="2016"/>
    <s v="Privado"/>
    <s v="AVEO &quot;F&quot; STD EE ABS A.AC. MP3 B/A 4P"/>
    <s v="0078108172"/>
    <s v="ALDO PEREZ MARTINEZ"/>
    <s v="Terminado"/>
    <s v="3RO NO AHY  DA.OS POR BACHE"/>
    <s v="Mexico"/>
    <x v="0"/>
    <s v="17:13"/>
    <s v="PUENTE LOPEZ PORTILLO"/>
    <d v="2018-01-29T00:00:00"/>
    <x v="0"/>
    <n v="33"/>
    <s v="TERCERO"/>
    <x v="6"/>
    <x v="2"/>
    <x v="8"/>
    <m/>
    <x v="9"/>
    <s v="ALDO PEREZ MARTINEZ"/>
  </r>
  <r>
    <s v="00000264964768"/>
    <s v="1"/>
    <s v="36868"/>
    <n v="0"/>
    <n v="637.55999999999995"/>
    <n v="0"/>
    <n v="0"/>
    <n v="0"/>
    <n v="1035"/>
    <n v="0"/>
    <n v="0"/>
    <n v="0"/>
    <n v="0"/>
    <n v="1035"/>
    <n v="0"/>
    <n v="0"/>
    <n v="0"/>
    <n v="0"/>
    <n v="0"/>
    <s v="20180726"/>
    <s v="G.N.P. ARRENDAMIENTO Y ADMINISTRACION DE FLOTILLAS"/>
    <s v="3G1TB5CF2GL192290"/>
    <n v="20171231"/>
    <n v="20181230"/>
    <m/>
    <s v="60250"/>
    <s v="Cancelada"/>
    <s v="00000264753815"/>
    <s v="SAN LUIS POTOSI"/>
    <n v="2015"/>
    <s v="Privado"/>
    <s v="AVEO B STD"/>
    <s v="0078331253"/>
    <s v="EDGAR RIOS MONTA#O"/>
    <s v="Reabierto"/>
    <s v="SI HAY 3RO MOTO"/>
    <s v="SAN LUIS POTOSI"/>
    <x v="0"/>
    <s v="22:21"/>
    <s v="PERIFERICO"/>
    <d v="2018-02-06T00:00:00"/>
    <x v="0"/>
    <n v="33"/>
    <m/>
    <x v="6"/>
    <x v="2"/>
    <x v="8"/>
    <m/>
    <x v="9"/>
    <s v="EDGAR RIOS MONTA#O"/>
  </r>
  <r>
    <s v="00000264964784"/>
    <s v="1"/>
    <s v="36868"/>
    <n v="0"/>
    <n v="1208.28"/>
    <n v="0"/>
    <n v="0"/>
    <n v="1912.55"/>
    <n v="286.88"/>
    <n v="0"/>
    <n v="0"/>
    <n v="0"/>
    <n v="0"/>
    <n v="2199.4299999999998"/>
    <n v="1912.55"/>
    <n v="0"/>
    <n v="0"/>
    <n v="0"/>
    <n v="0"/>
    <s v="20180328"/>
    <s v="G.N.P. ARRENDAMIENTO Y ADMINISTRACION DE FLOTILLAS"/>
    <s v="3G1TB5CFXGL193557"/>
    <n v="20171231"/>
    <n v="20181230"/>
    <m/>
    <s v="60250"/>
    <s v="Vigente"/>
    <s v="00000264756040"/>
    <s v="DISTRITO FEDERAL"/>
    <n v="2016"/>
    <s v="Privado"/>
    <s v="HONDA"/>
    <s v="0078187416"/>
    <s v="FERNANDO SILVA MENDEZ"/>
    <s v="Terminado"/>
    <s v="3RO EN LUGAR VH NEGRO"/>
    <s v="Distrito Federal"/>
    <x v="0"/>
    <s v="07:17"/>
    <s v="DE TLALPAN"/>
    <d v="2018-02-01T00:00:00"/>
    <x v="0"/>
    <n v="33"/>
    <s v="ASEGURADO"/>
    <x v="7"/>
    <x v="2"/>
    <x v="8"/>
    <m/>
    <x v="9"/>
    <s v="FERNANDO SILVA MENDEZ"/>
  </r>
  <r>
    <s v="00000264964784"/>
    <s v="1"/>
    <s v="36868"/>
    <n v="0"/>
    <n v="801.14"/>
    <n v="0"/>
    <n v="0"/>
    <n v="0"/>
    <n v="125.09"/>
    <n v="0"/>
    <n v="-3600"/>
    <n v="0"/>
    <n v="4433.93"/>
    <n v="959.02"/>
    <n v="0"/>
    <n v="0"/>
    <n v="0"/>
    <n v="0"/>
    <n v="0"/>
    <s v="20180928"/>
    <s v="G.N.P. ARRENDAMIENTO Y ADMINISTRACION DE FLOTILLAS"/>
    <s v="3G1TB5CFXGL193557"/>
    <n v="20171231"/>
    <n v="20181230"/>
    <m/>
    <s v="60250"/>
    <s v="Vigente"/>
    <s v="00000264753815"/>
    <s v="DISTRITO FEDERAL"/>
    <n v="2017"/>
    <s v="Privado"/>
    <s v="AVEO &quot;F&quot; STD EE ABS A.AC. MP3 B/A 4P"/>
    <s v="0078189412"/>
    <s v="RUBEN PARRA JIMENEZ"/>
    <s v="Pendiente"/>
    <s v="CHEVY AZUL NA DICE QUE LE ASIGNARON A AJ HUMBERTO VALENCIA 597"/>
    <s v="Distrito Federal"/>
    <x v="0"/>
    <s v="08:40"/>
    <s v="PERIFERICO"/>
    <d v="2018-02-01T00:00:00"/>
    <x v="0"/>
    <n v="33"/>
    <s v="TERCERO"/>
    <x v="7"/>
    <x v="2"/>
    <x v="8"/>
    <m/>
    <x v="9"/>
    <s v="RUBEN PARRA JIMENEZ"/>
  </r>
  <r>
    <s v="00000264964784"/>
    <s v="1"/>
    <s v="36868"/>
    <n v="0"/>
    <n v="0"/>
    <n v="0"/>
    <n v="0"/>
    <n v="0"/>
    <n v="1798.76"/>
    <n v="0"/>
    <n v="0"/>
    <n v="0"/>
    <n v="11991.75"/>
    <n v="13790.51"/>
    <n v="0"/>
    <n v="0"/>
    <n v="0"/>
    <n v="0"/>
    <n v="0"/>
    <s v="20181214"/>
    <s v="G.N.P. ARRENDAMIENTO Y ADMINISTRACION DE FLOTILLAS"/>
    <s v="3G1TB5CFXGL193557"/>
    <n v="20171231"/>
    <n v="20181230"/>
    <m/>
    <s v="60250"/>
    <s v="Vigente"/>
    <s v="00000264753815"/>
    <s v="PUEBLA"/>
    <n v="2016"/>
    <s v="Privado"/>
    <s v="AVEO &quot;F&quot; STD EE ABS A.AC. MP3 B/A 4P"/>
    <s v="0078285343"/>
    <s v="ARMANDO AGUILAR ARIAS"/>
    <s v="Terminado"/>
    <s v="NO ERO REQ AJUSTADOR"/>
    <s v="PUEBLA"/>
    <x v="0"/>
    <s v="20:10"/>
    <s v="CAMINO REAL A CHOLULA"/>
    <d v="2018-02-04T00:00:00"/>
    <x v="0"/>
    <n v="33"/>
    <m/>
    <x v="7"/>
    <x v="2"/>
    <x v="8"/>
    <m/>
    <x v="9"/>
    <s v="ARMANDO AGUILAR ARIAS"/>
  </r>
  <r>
    <s v="00000264964792"/>
    <s v="1"/>
    <s v="36868"/>
    <n v="0"/>
    <n v="801.14"/>
    <n v="0"/>
    <n v="0"/>
    <n v="0"/>
    <n v="3620.4"/>
    <n v="0"/>
    <n v="0"/>
    <n v="0"/>
    <n v="20916"/>
    <n v="24536.400000000001"/>
    <n v="0"/>
    <n v="0"/>
    <n v="0"/>
    <n v="0"/>
    <n v="0"/>
    <s v="20180907"/>
    <s v="G.N.P. ARRENDAMIENTO Y ADMINISTRACION DE FLOTILLAS"/>
    <s v="3G1TB5CF0GL192191"/>
    <n v="20171231"/>
    <n v="20181230"/>
    <m/>
    <s v="60250"/>
    <s v="Vigente"/>
    <s v="00000264753815"/>
    <s v="PUEBLA"/>
    <n v="2016"/>
    <s v="Privado"/>
    <s v="AVEO &quot;F&quot; STD EE ABS A.AC. MP3 B/A 4P"/>
    <s v="0078309010"/>
    <s v="VICTOR MARTINEZ AGUILAR"/>
    <s v="Pendiente"/>
    <s v="3ERO MERCEDES BENZ SE VA 3ERO DEL QUE ESTABA ATENDIENDO REPORTA AJUSTADOR"/>
    <s v="PUEBLA"/>
    <x v="0"/>
    <s v="12:43"/>
    <s v="13 PONIENTE 1713"/>
    <d v="2018-02-06T00:00:00"/>
    <x v="0"/>
    <n v="33"/>
    <m/>
    <x v="7"/>
    <x v="2"/>
    <x v="8"/>
    <m/>
    <x v="9"/>
    <s v="VICTOR MARTINEZ AGUILAR"/>
  </r>
  <r>
    <s v="00000264964826"/>
    <s v="1"/>
    <s v="36868"/>
    <n v="0"/>
    <n v="1533.61"/>
    <n v="0"/>
    <n v="0"/>
    <n v="16147.7"/>
    <n v="4197.16"/>
    <n v="0"/>
    <n v="-16150"/>
    <n v="0"/>
    <n v="0"/>
    <n v="4194.8599999999997"/>
    <n v="16147.7"/>
    <n v="0"/>
    <n v="0"/>
    <n v="0"/>
    <n v="0"/>
    <s v="20180515"/>
    <s v="G.N.P. ARRENDAMIENTO Y ADMINISTRACION DE FLOTILLAS"/>
    <s v="3G1TB5CF1GL196637"/>
    <n v="20171231"/>
    <n v="20181230"/>
    <m/>
    <s v="60250"/>
    <s v="Vigente"/>
    <s v="00000264753815"/>
    <s v="DISTRITO FEDERAL"/>
    <n v="2017"/>
    <s v="Privado"/>
    <s v="AVEO &quot;F&quot; STD EE ABS A.AC. MP3 B/A 4P"/>
    <s v="0078363462"/>
    <s v="VICTOR HUGO MORALES CASTA#EDA"/>
    <s v="Pendiente"/>
    <s v="SI HAY 3RO TAXI VERSA"/>
    <s v="Mexico"/>
    <x v="0"/>
    <s v="20:10"/>
    <s v="JUAREZ"/>
    <d v="2018-02-07T00:00:00"/>
    <x v="0"/>
    <n v="33"/>
    <s v="ASEGURADO"/>
    <x v="7"/>
    <x v="2"/>
    <x v="8"/>
    <m/>
    <x v="9"/>
    <s v="VICTOR HUGO MORALES CASTA#EDA"/>
  </r>
  <r>
    <s v="00000264964826"/>
    <s v="1"/>
    <s v="36868"/>
    <n v="0"/>
    <n v="377.12"/>
    <n v="0"/>
    <n v="0"/>
    <n v="0"/>
    <n v="360"/>
    <n v="0"/>
    <n v="0"/>
    <n v="0"/>
    <n v="2400"/>
    <n v="2760"/>
    <n v="0"/>
    <n v="0"/>
    <n v="0"/>
    <n v="0"/>
    <n v="0"/>
    <s v="20181212"/>
    <s v="G.N.P. ARRENDAMIENTO Y ADMINISTRACION DE FLOTILLAS"/>
    <s v="3G1TB5CF1GL196637"/>
    <n v="20171231"/>
    <n v="20181230"/>
    <m/>
    <s v="60250"/>
    <s v="Vigente"/>
    <s v="00000264758509"/>
    <s v="DISTRITO FEDERAL"/>
    <n v="2013"/>
    <s v="Ambulancia"/>
    <s v="FORD F-350 SUPER DUTY XL"/>
    <s v="0078401973"/>
    <s v="RAUL CORONA X"/>
    <s v="Pendiente"/>
    <s v="SI HAY 3RO"/>
    <s v="Distrito Federal"/>
    <x v="0"/>
    <s v="19:59"/>
    <s v="BENJAMIN FRANKLIN"/>
    <d v="2018-02-08T00:00:00"/>
    <x v="0"/>
    <n v="33"/>
    <s v="TERCERO"/>
    <x v="7"/>
    <x v="2"/>
    <x v="8"/>
    <m/>
    <x v="9"/>
    <s v="RAUL CORONA X"/>
  </r>
  <r>
    <s v="00000264964909"/>
    <s v="1"/>
    <s v="36868"/>
    <n v="0"/>
    <n v="2010.51"/>
    <n v="0"/>
    <n v="0"/>
    <n v="42991.61"/>
    <n v="5474.3"/>
    <n v="0"/>
    <n v="-6496.25"/>
    <n v="0"/>
    <n v="0"/>
    <n v="41969.66"/>
    <n v="27333.61"/>
    <n v="0"/>
    <n v="0"/>
    <n v="15658"/>
    <n v="0"/>
    <s v="20180820"/>
    <s v="G.N.P. ARRENDAMIENTO Y ADMINISTRACION DE FLOTILLAS"/>
    <s v="3G1TB5CF9GL197017"/>
    <n v="20171231"/>
    <n v="20181230"/>
    <m/>
    <s v="60250"/>
    <s v="Vigente"/>
    <s v="00000264753815"/>
    <s v="JALISCO"/>
    <n v="2017"/>
    <s v="Privado"/>
    <s v="AVEO &quot;F&quot; STD EE ABS A.AC. MP3 B/A 4P"/>
    <s v="0078432663"/>
    <s v="JORGE GUTIERREZ GARCIA"/>
    <s v="Terminado"/>
    <s v="3RO SI HAY WINDSTAR"/>
    <s v="JALISCO"/>
    <x v="0"/>
    <s v="16:20"/>
    <s v="FELIPE CARRILO"/>
    <d v="2018-02-09T00:00:00"/>
    <x v="0"/>
    <n v="33"/>
    <s v="ASEGURADO"/>
    <x v="7"/>
    <x v="2"/>
    <x v="8"/>
    <m/>
    <x v="9"/>
    <s v="JORGE GUTIERREZ GARCIA"/>
  </r>
  <r>
    <s v="00000264964917"/>
    <s v="1"/>
    <s v="36868"/>
    <n v="0"/>
    <n v="677.46"/>
    <n v="0"/>
    <n v="0"/>
    <n v="15658"/>
    <n v="2348.6999999999998"/>
    <n v="0"/>
    <n v="0"/>
    <n v="0"/>
    <n v="0"/>
    <n v="18006.7"/>
    <n v="0"/>
    <n v="0"/>
    <n v="0"/>
    <n v="15658"/>
    <n v="0"/>
    <s v="20180304"/>
    <s v="G.N.P. ARRENDAMIENTO Y ADMINISTRACION DE FLOTILLAS"/>
    <s v="3G1TB5CF7GL196450"/>
    <n v="20171231"/>
    <n v="20181230"/>
    <m/>
    <s v="60250"/>
    <s v="Vigente"/>
    <s v="00000264753815"/>
    <s v="DISTRITO FEDERAL"/>
    <n v="2017"/>
    <s v="Privado"/>
    <s v="AVEO &quot;F&quot; STD EE ABS A.AC. MP3 B/A 4P"/>
    <s v="0078527330"/>
    <s v="ANGEL EDUARDO CANO MORENO"/>
    <s v="Pendiente"/>
    <s v="3RO VERSA BLANCO"/>
    <s v="Distrito Federal"/>
    <x v="0"/>
    <s v="12:42"/>
    <s v="JOSE MARIA IBARRAN"/>
    <d v="2018-02-13T00:00:00"/>
    <x v="0"/>
    <n v="33"/>
    <s v="ASEGURADO"/>
    <x v="7"/>
    <x v="2"/>
    <x v="8"/>
    <m/>
    <x v="9"/>
    <s v="ANGEL EDUARDO CANO MORENO"/>
  </r>
  <r>
    <s v="00000264964917"/>
    <s v="1"/>
    <s v="36868"/>
    <n v="0"/>
    <n v="655.6"/>
    <n v="0"/>
    <n v="0"/>
    <n v="0"/>
    <n v="560.25"/>
    <n v="0"/>
    <n v="0"/>
    <n v="0"/>
    <n v="3735"/>
    <n v="4295.25"/>
    <n v="0"/>
    <n v="0"/>
    <n v="0"/>
    <n v="0"/>
    <n v="0"/>
    <s v="20181220"/>
    <s v="G.N.P. ARRENDAMIENTO Y ADMINISTRACION DE FLOTILLAS"/>
    <s v="3G1TB5CF7GL196450"/>
    <n v="20171231"/>
    <n v="20181230"/>
    <m/>
    <s v="60250"/>
    <s v="Vigente"/>
    <s v="00000264753815"/>
    <s v="DISTRITO FEDERAL"/>
    <n v="2018"/>
    <s v="Privado"/>
    <s v="NISSAN MARCH ACTIVE CARGO L4 1.6 ABS STD"/>
    <s v="0078539111"/>
    <s v="JUAN CARLOS HERNANDEZ LOPEZ"/>
    <s v="Reabierto"/>
    <s v="3RO MICRO"/>
    <s v="Distrito Federal"/>
    <x v="0"/>
    <s v="16:40"/>
    <s v="PERIFERICO"/>
    <d v="2018-02-13T00:00:00"/>
    <x v="0"/>
    <n v="33"/>
    <s v="TERCERO"/>
    <x v="7"/>
    <x v="2"/>
    <x v="8"/>
    <m/>
    <x v="9"/>
    <s v="JUAN CARLOS HERNANDEZ LOPEZ"/>
  </r>
  <r>
    <s v="00000264964933"/>
    <s v="1"/>
    <s v="36868"/>
    <n v="0"/>
    <n v="0"/>
    <n v="0"/>
    <n v="0"/>
    <n v="24488.34"/>
    <n v="2698.7"/>
    <n v="0"/>
    <n v="-6497"/>
    <n v="0"/>
    <n v="0"/>
    <n v="20690.04"/>
    <n v="24488.34"/>
    <n v="0"/>
    <n v="0"/>
    <n v="0"/>
    <n v="0"/>
    <s v="20180221"/>
    <s v="G.N.P. ARRENDAMIENTO Y ADMINISTRACION DE FLOTILLAS"/>
    <s v="3G1TB5CFXGL197057"/>
    <n v="20171231"/>
    <n v="20181230"/>
    <m/>
    <s v="60250"/>
    <s v="Vigente"/>
    <s v="00000264753815"/>
    <s v="VERACRUZ"/>
    <n v="2017"/>
    <s v="Privado"/>
    <s v="AVEO &quot;F&quot; STD EE ABS A.AC. MP3 B/A 4P"/>
    <s v="0081853004"/>
    <m/>
    <s v="Terminado"/>
    <s v="SI HAY 3RO MITSUBISHI MIRAGE BLANCO"/>
    <s v="Veracruz"/>
    <x v="0"/>
    <s v="14:30"/>
    <s v="ARAMADA MEXICO 0"/>
    <d v="2018-02-15T00:00:00"/>
    <x v="0"/>
    <n v="33"/>
    <m/>
    <x v="7"/>
    <x v="2"/>
    <x v="8"/>
    <m/>
    <x v="9"/>
    <m/>
  </r>
  <r>
    <s v="00000264964933"/>
    <s v="1"/>
    <s v="36868"/>
    <n v="0"/>
    <n v="2043.38"/>
    <n v="0"/>
    <n v="0"/>
    <n v="50283.25"/>
    <n v="7004.94"/>
    <n v="0"/>
    <n v="-6497"/>
    <n v="0"/>
    <n v="0"/>
    <n v="50791.19"/>
    <n v="48577.58"/>
    <n v="1705.67"/>
    <n v="0"/>
    <n v="0"/>
    <n v="0"/>
    <s v="20180328"/>
    <s v="G.N.P. ARRENDAMIENTO Y ADMINISTRACION DE FLOTILLAS"/>
    <s v="3G1TB5CFXGL197057"/>
    <n v="20171231"/>
    <n v="20181230"/>
    <m/>
    <s v="60250"/>
    <s v="Vigente"/>
    <s v="00000264753815"/>
    <s v="DISTRITO FEDERAL"/>
    <n v="2016"/>
    <s v="Privado"/>
    <s v="AVEO &quot;F&quot; STD EE ABS A.AC. MP3 B/A 4P"/>
    <s v="0079633459"/>
    <m/>
    <s v="Pendiente"/>
    <s v="IMPACTA PIEDRA EN EL PARABRISAS"/>
    <s v="Veracruz"/>
    <x v="1"/>
    <s v="16:59"/>
    <s v="CRISTAL 0"/>
    <d v="2018-02-16T00:00:00"/>
    <x v="0"/>
    <n v="33"/>
    <m/>
    <x v="7"/>
    <x v="2"/>
    <x v="8"/>
    <m/>
    <x v="9"/>
    <m/>
  </r>
  <r>
    <s v="00000264964933"/>
    <s v="1"/>
    <s v="36868"/>
    <n v="0"/>
    <n v="2687.49"/>
    <n v="0"/>
    <n v="0"/>
    <n v="4764.83"/>
    <n v="-1633.98"/>
    <n v="0"/>
    <n v="-15658"/>
    <n v="0"/>
    <n v="0"/>
    <n v="-12527.15"/>
    <n v="4764.83"/>
    <n v="0"/>
    <n v="0"/>
    <n v="0"/>
    <n v="0"/>
    <s v="20180813"/>
    <s v="G.N.P. ARRENDAMIENTO Y ADMINISTRACION DE FLOTILLAS"/>
    <s v="3G1TB5CFXGL197057"/>
    <n v="20171231"/>
    <n v="20181230"/>
    <m/>
    <s v="60250"/>
    <s v="Vigente"/>
    <s v="00000264753815"/>
    <s v="JALISCO"/>
    <n v="2018"/>
    <s v="Privado"/>
    <s v="NISSAN MARCH ACTIVE CARGO L4 1.6 ABS STD"/>
    <s v="0079232534"/>
    <m/>
    <s v="Pendiente"/>
    <s v="3RO KIA SPORTAGE"/>
    <s v="JALISCO"/>
    <x v="0"/>
    <s v="08:42"/>
    <s v="INGLATERRA 0"/>
    <d v="2018-02-16T00:00:00"/>
    <x v="0"/>
    <n v="33"/>
    <m/>
    <x v="7"/>
    <x v="2"/>
    <x v="8"/>
    <m/>
    <x v="9"/>
    <m/>
  </r>
  <r>
    <s v="00000264965005"/>
    <s v="1"/>
    <s v="36868"/>
    <n v="0"/>
    <n v="344.76"/>
    <n v="0"/>
    <n v="0"/>
    <n v="15658"/>
    <n v="2348.6999999999998"/>
    <n v="0"/>
    <n v="0"/>
    <n v="0"/>
    <n v="0"/>
    <n v="18006.7"/>
    <n v="0"/>
    <n v="0"/>
    <n v="0"/>
    <n v="15658"/>
    <n v="0"/>
    <s v="20181016"/>
    <s v="G.N.P. ARRENDAMIENTO Y ADMINISTRACION DE FLOTILLAS"/>
    <s v="3G1TB5CF1GL197349"/>
    <n v="20171231"/>
    <n v="20181230"/>
    <m/>
    <s v="60250"/>
    <s v="Vigente"/>
    <s v="00000264753815"/>
    <s v="DISTRITO FEDERAL"/>
    <n v="2017"/>
    <s v="Privado"/>
    <s v="AVEO &quot;F&quot; STD EE ABS A.AC. MP3 B/A 4P"/>
    <s v="0078992070"/>
    <m/>
    <s v="Terminado"/>
    <s v="NA COLISIONA A TIIDA"/>
    <s v="Distrito Federal"/>
    <x v="0"/>
    <s v="19:22"/>
    <s v="EJE 6 0"/>
    <d v="2018-02-20T00:00:00"/>
    <x v="0"/>
    <n v="33"/>
    <m/>
    <x v="7"/>
    <x v="2"/>
    <x v="8"/>
    <m/>
    <x v="9"/>
    <m/>
  </r>
  <r>
    <s v="00000264965088"/>
    <s v="1"/>
    <s v="36868"/>
    <n v="0"/>
    <n v="1251.3499999999999"/>
    <n v="0"/>
    <n v="0"/>
    <n v="39450.550000000003"/>
    <n v="4943.1499999999996"/>
    <n v="0"/>
    <n v="-6496.25"/>
    <n v="0"/>
    <n v="0"/>
    <n v="37897.449999999997"/>
    <n v="39450.550000000003"/>
    <n v="0"/>
    <n v="0"/>
    <n v="0"/>
    <n v="0"/>
    <s v="20180709"/>
    <s v="G.N.P. ARRENDAMIENTO Y ADMINISTRACION DE FLOTILLAS"/>
    <s v="3G1TB5CF5GL192039"/>
    <n v="20171231"/>
    <n v="20181230"/>
    <m/>
    <s v="60250"/>
    <s v="Vigente"/>
    <s v="00000264753815"/>
    <s v="JALISCO"/>
    <n v="2016"/>
    <s v="Privado"/>
    <s v="AVEO &quot;F&quot; STD EE ABS A.AC. MP3 B/A 4P"/>
    <s v="0078975695"/>
    <m/>
    <s v="Reabierto"/>
    <s v="3RO NO AHY"/>
    <s v="JALISCO"/>
    <x v="0"/>
    <s v="11:00"/>
    <s v="CIRCUMBALACION 0"/>
    <d v="2018-02-21T00:00:00"/>
    <x v="0"/>
    <n v="33"/>
    <m/>
    <x v="7"/>
    <x v="2"/>
    <x v="8"/>
    <m/>
    <x v="9"/>
    <m/>
  </r>
  <r>
    <s v="00000264965096"/>
    <s v="1"/>
    <s v="36868"/>
    <n v="0"/>
    <n v="408.05"/>
    <n v="0"/>
    <n v="0"/>
    <n v="0"/>
    <n v="-375.3"/>
    <n v="0"/>
    <n v="-3000"/>
    <n v="0"/>
    <n v="498"/>
    <n v="-2877.3"/>
    <n v="0"/>
    <n v="0"/>
    <n v="0"/>
    <n v="0"/>
    <n v="0"/>
    <s v="20181217"/>
    <s v="G.N.P. ARRENDAMIENTO Y ADMINISTRACION DE FLOTILLAS"/>
    <s v="3G1TB5CF5GL192106"/>
    <n v="20171231"/>
    <n v="20181230"/>
    <m/>
    <s v="60250"/>
    <s v="Vigente"/>
    <s v="00000264753815"/>
    <s v="HIDALGO"/>
    <n v="2017"/>
    <s v="Privado"/>
    <s v="AVEO &quot;F&quot; STD EE ABS A.AC. MP3 B/A 4P"/>
    <s v="0078963360"/>
    <s v="G.N.P. ARRENDAMIENTO Y ADMINISTRACION DE FLOTILLAS, S.A. DEC.V."/>
    <s v="Reabierto"/>
    <s v="."/>
    <s v="HIDALGO"/>
    <x v="0"/>
    <s v="19:20"/>
    <s v="ACTOPAN. PACHUCA 500"/>
    <d v="2018-02-21T00:00:00"/>
    <x v="2"/>
    <n v="33"/>
    <m/>
    <x v="7"/>
    <x v="2"/>
    <x v="8"/>
    <m/>
    <x v="9"/>
    <s v="G.N.P. ARRENDAMIENTO Y ADMINISTRACION DE FLOTILLAS, S.A. DEC.V."/>
  </r>
  <r>
    <s v="00000264965104"/>
    <s v="1"/>
    <s v="36868"/>
    <n v="0"/>
    <n v="829.7"/>
    <n v="0"/>
    <n v="0"/>
    <n v="15658"/>
    <n v="2348.6999999999998"/>
    <n v="0"/>
    <n v="0"/>
    <n v="0"/>
    <n v="0"/>
    <n v="18006.7"/>
    <n v="0"/>
    <n v="0"/>
    <n v="0"/>
    <n v="15658"/>
    <n v="0"/>
    <s v="20181022"/>
    <s v="G.N.P. ARRENDAMIENTO Y ADMINISTRACION DE FLOTILLAS"/>
    <s v="3G1TB5CF7GL194424"/>
    <n v="20171231"/>
    <n v="20181230"/>
    <m/>
    <s v="60250"/>
    <s v="Vigente"/>
    <s v="00000264753815"/>
    <s v="DISTRITO FEDERAL"/>
    <n v="2017"/>
    <s v="Privado"/>
    <s v="AVEO &quot;F&quot; STD EE ABS A.AC. MP3 B/A 4P"/>
    <s v="0081854259"/>
    <m/>
    <s v="Terminado"/>
    <s v="SI HAY 3RO TOYOTA COLOR GRIS"/>
    <s v="Distrito Federal"/>
    <x v="0"/>
    <s v="16:29"/>
    <s v="MATANZAS 0"/>
    <d v="2018-02-24T00:00:00"/>
    <x v="0"/>
    <n v="33"/>
    <m/>
    <x v="7"/>
    <x v="2"/>
    <x v="8"/>
    <m/>
    <x v="9"/>
    <m/>
  </r>
  <r>
    <s v="00000264965120"/>
    <s v="1"/>
    <s v="36868"/>
    <n v="0"/>
    <n v="2542.14"/>
    <n v="0"/>
    <n v="0"/>
    <n v="9663.69"/>
    <n v="-1546.62"/>
    <n v="0"/>
    <n v="-20808"/>
    <n v="0"/>
    <n v="833.5"/>
    <n v="-11857.43"/>
    <n v="4513.6899999999996"/>
    <n v="5150"/>
    <n v="0"/>
    <n v="0"/>
    <n v="0"/>
    <s v="20180116"/>
    <s v="G.N.P. ARRENDAMIENTO Y ADMINISTRACION DE FLOTILLAS"/>
    <s v="3G1TB5CF7GL196982"/>
    <n v="20171231"/>
    <n v="20181230"/>
    <m/>
    <s v="60250"/>
    <s v="Vigente"/>
    <s v="00000264756040"/>
    <s v="DISTRITO FEDERAL"/>
    <n v="2018"/>
    <s v="Privado"/>
    <s v="HONDA"/>
    <s v="0079614657"/>
    <m/>
    <s v="Reabierto"/>
    <s v="x"/>
    <s v="Mexico"/>
    <x v="0"/>
    <s v="14:00"/>
    <s v="CIRCUITO PANULFO PADILLA 0"/>
    <d v="2018-02-24T00:00:00"/>
    <x v="0"/>
    <n v="33"/>
    <m/>
    <x v="7"/>
    <x v="2"/>
    <x v="8"/>
    <m/>
    <x v="9"/>
    <m/>
  </r>
  <r>
    <s v="00000264965120"/>
    <s v="1"/>
    <s v="36868"/>
    <n v="0"/>
    <n v="620.03"/>
    <n v="0"/>
    <n v="0"/>
    <n v="0"/>
    <n v="-1305.45"/>
    <n v="0"/>
    <n v="-15658"/>
    <n v="0"/>
    <n v="3735"/>
    <n v="-13228.45"/>
    <n v="0"/>
    <n v="0"/>
    <n v="0"/>
    <n v="0"/>
    <n v="0"/>
    <s v="20181112"/>
    <s v="G.N.P. ARRENDAMIENTO Y ADMINISTRACION DE FLOTILLAS"/>
    <s v="3G1TB5CF7GL196982"/>
    <n v="20171231"/>
    <n v="20181230"/>
    <m/>
    <s v="60250"/>
    <s v="Vigente"/>
    <s v="00000264753815"/>
    <s v="DISTRITO FEDERAL"/>
    <n v="2017"/>
    <s v="Privado"/>
    <s v="AVEO &quot;F&quot; STD EE ABS A.AC. MP3 B/A 4P"/>
    <s v="0079302287"/>
    <m/>
    <s v="Terminado"/>
    <s v="3RO AVEO COLOR BLANCO"/>
    <s v="Mexico"/>
    <x v="0"/>
    <s v="21:34"/>
    <s v="AVENIDA CENTRAL 0"/>
    <d v="2018-02-26T00:00:00"/>
    <x v="0"/>
    <n v="33"/>
    <m/>
    <x v="7"/>
    <x v="2"/>
    <x v="8"/>
    <m/>
    <x v="9"/>
    <m/>
  </r>
  <r>
    <s v="00000264965187"/>
    <s v="1"/>
    <s v="36868"/>
    <n v="0"/>
    <n v="2760.3"/>
    <n v="0"/>
    <n v="0"/>
    <n v="35955.06"/>
    <n v="0"/>
    <n v="0"/>
    <n v="-35955.06"/>
    <n v="0"/>
    <n v="0"/>
    <n v="0"/>
    <n v="32708.32"/>
    <n v="3246.74"/>
    <n v="0"/>
    <n v="0"/>
    <n v="0"/>
    <s v="20180628"/>
    <s v="G.N.P. ARRENDAMIENTO Y ADMINISTRACION DE FLOTILLAS"/>
    <s v="3G1TB5CF2GL194010"/>
    <n v="20171231"/>
    <n v="20181230"/>
    <m/>
    <s v="60250"/>
    <s v="Vigente"/>
    <s v="00000264753815"/>
    <s v="PUEBLA"/>
    <n v="2017"/>
    <s v="Privado"/>
    <s v="AVEO &quot;F&quot; STD EE ABS A.AC. MP3 B/A 4P"/>
    <s v="0078979499"/>
    <s v="VALENTIN ARTURO RODRIGUEZ HERRERA"/>
    <s v="Terminado"/>
    <s v="3RO EN EL LUGAR VOLKSWAGEN JETTA BLANCO"/>
    <s v="PUEBLA"/>
    <x v="0"/>
    <s v="19:15"/>
    <s v="GRAN BOULAVRD LOMOS"/>
    <d v="2018-02-27T00:00:00"/>
    <x v="0"/>
    <n v="33"/>
    <s v="ASEGURADO"/>
    <x v="7"/>
    <x v="2"/>
    <x v="8"/>
    <m/>
    <x v="9"/>
    <s v="VALENTIN ARTURO RODRIGUEZ HERRERA"/>
  </r>
  <r>
    <s v="00000264965195"/>
    <s v="1"/>
    <s v="36868"/>
    <n v="0"/>
    <n v="2233.67"/>
    <n v="0"/>
    <n v="0"/>
    <n v="6478.98"/>
    <n v="-893.85"/>
    <n v="0"/>
    <n v="-15658"/>
    <n v="0"/>
    <n v="0"/>
    <n v="-10072.870000000001"/>
    <n v="6478.98"/>
    <n v="0"/>
    <n v="0"/>
    <n v="0"/>
    <n v="0"/>
    <s v="20180518"/>
    <s v="G.N.P. ARRENDAMIENTO Y ADMINISTRACION DE FLOTILLAS"/>
    <s v="3G1TB5CF5GL194602"/>
    <n v="20171231"/>
    <n v="20181230"/>
    <m/>
    <s v="60250"/>
    <s v="Vigente"/>
    <s v="00000264753815"/>
    <s v="DISTRITO FEDERAL"/>
    <n v="2017"/>
    <s v="Privado"/>
    <s v="AVEO &quot;F&quot; STD EE ABS A.AC. MP3 B/A 4P"/>
    <s v="0079026167"/>
    <m/>
    <s v="Pendiente"/>
    <s v="CRISTAL PARABRISAS AJUSTE 2.0"/>
    <s v="Distrito Federal"/>
    <x v="1"/>
    <s v="10:25"/>
    <s v="AJUSTE 2.0"/>
    <d v="2018-03-01T00:00:00"/>
    <x v="0"/>
    <n v="33"/>
    <m/>
    <x v="8"/>
    <x v="2"/>
    <x v="8"/>
    <m/>
    <x v="9"/>
    <m/>
  </r>
  <r>
    <s v="00000264965203"/>
    <s v="1"/>
    <s v="36868"/>
    <n v="0"/>
    <n v="4163.43"/>
    <n v="0"/>
    <n v="0"/>
    <n v="44178.96"/>
    <n v="21098.07"/>
    <n v="0"/>
    <n v="-59747.53"/>
    <n v="0"/>
    <n v="0"/>
    <n v="5529.5"/>
    <n v="35422.67"/>
    <n v="8756.2900000000009"/>
    <n v="0"/>
    <n v="0"/>
    <n v="0"/>
    <s v="20180323"/>
    <s v="G.N.P. ARRENDAMIENTO Y ADMINISTRACION DE FLOTILLAS"/>
    <s v="3G1TB5CF9GL194540"/>
    <n v="20171231"/>
    <n v="20181230"/>
    <m/>
    <s v="60250"/>
    <s v="Vigente"/>
    <s v="00000264753815"/>
    <s v="JALISCO"/>
    <n v="2016"/>
    <s v="Privado"/>
    <s v="AVEO &quot;F&quot; STD EE ABS A.AC. MP3 B/A 4P"/>
    <s v="0079115358"/>
    <s v="ARMANDO MU#OS GARCIA"/>
    <s v="Terminado"/>
    <s v="3RO EN EL LUGAR"/>
    <s v="JALISCO"/>
    <x v="0"/>
    <s v="14:24"/>
    <s v="3"/>
    <d v="2018-03-04T00:00:00"/>
    <x v="0"/>
    <n v="33"/>
    <s v="ASEGURADO"/>
    <x v="8"/>
    <x v="2"/>
    <x v="8"/>
    <m/>
    <x v="9"/>
    <s v="ARMANDO MU#OS GARCIA"/>
  </r>
  <r>
    <s v="00000264965229"/>
    <s v="1"/>
    <s v="36868"/>
    <n v="0"/>
    <n v="398.53"/>
    <n v="5180.93"/>
    <n v="5180.93"/>
    <n v="0"/>
    <n v="0"/>
    <n v="0"/>
    <n v="0"/>
    <n v="0"/>
    <n v="0"/>
    <n v="0"/>
    <n v="0"/>
    <n v="0"/>
    <n v="0"/>
    <n v="0"/>
    <n v="0"/>
    <s v="20180131"/>
    <s v="G.N.P. ARRENDAMIENTO Y ADMINISTRACION DE FLOTILLAS"/>
    <s v="3G1TB5CF9GL196725"/>
    <n v="20171231"/>
    <n v="20181230"/>
    <m/>
    <s v="60250"/>
    <s v="Vigente"/>
    <s v="00000264753815"/>
    <s v="NUEVO LEON"/>
    <n v="2016"/>
    <s v="Privado"/>
    <s v="AVEO &quot;F&quot; STD EE ABS A.AC. MP3 B/A 4P"/>
    <s v="0079126629"/>
    <m/>
    <s v="Pendiente"/>
    <s v="PARABRISAS PARA REPARACION"/>
    <s v="NUEVO LEON"/>
    <x v="1"/>
    <s v="09:44"/>
    <s v="CRISTALES"/>
    <d v="2018-03-05T00:00:00"/>
    <x v="0"/>
    <n v="33"/>
    <m/>
    <x v="8"/>
    <x v="2"/>
    <x v="8"/>
    <m/>
    <x v="9"/>
    <m/>
  </r>
  <r>
    <s v="00000264965237"/>
    <s v="1"/>
    <s v="36868"/>
    <n v="5310.97"/>
    <n v="1342.33"/>
    <n v="0"/>
    <n v="0"/>
    <n v="532.29999999999995"/>
    <n v="62.6"/>
    <n v="0"/>
    <n v="-115"/>
    <n v="0"/>
    <n v="0"/>
    <n v="479.9"/>
    <n v="532.29999999999995"/>
    <n v="0"/>
    <n v="0"/>
    <n v="0"/>
    <n v="0"/>
    <s v="20180105"/>
    <s v="G.N.P. ARRENDAMIENTO Y ADMINISTRACION DE FLOTILLAS"/>
    <s v="3G1TB5CF4GL196616"/>
    <n v="20171231"/>
    <n v="20181230"/>
    <m/>
    <s v="60250"/>
    <s v="Vigente"/>
    <s v="00000264753815"/>
    <s v="DISTRITO FEDERAL"/>
    <n v="2017"/>
    <s v="Privado"/>
    <s v="AVEO &quot;F&quot; STD EE ABS A.AC. MP3 B/A 4P"/>
    <s v="0079216248"/>
    <m/>
    <s v="Terminado"/>
    <s v="PARABRISAS"/>
    <s v="Distrito Federal"/>
    <x v="1"/>
    <s v="14:21"/>
    <s v="Glaass Delegacion Coyoacan Suc. Tlalpan_x0009_Calzada De Tlalpan . 1858. Col. Country"/>
    <d v="2018-03-07T00:00:00"/>
    <x v="0"/>
    <n v="33"/>
    <m/>
    <x v="8"/>
    <x v="2"/>
    <x v="8"/>
    <m/>
    <x v="9"/>
    <m/>
  </r>
  <r>
    <s v="00000264965237"/>
    <s v="1"/>
    <s v="36868"/>
    <n v="0"/>
    <n v="1750.87"/>
    <n v="5310.97"/>
    <n v="5310.97"/>
    <n v="2850"/>
    <n v="841.5"/>
    <n v="0"/>
    <n v="0"/>
    <n v="0"/>
    <n v="0"/>
    <n v="3691.5"/>
    <n v="1050"/>
    <n v="1800"/>
    <n v="0"/>
    <n v="0"/>
    <n v="0"/>
    <s v="20180206"/>
    <s v="G.N.P. ARRENDAMIENTO Y ADMINISTRACION DE FLOTILLAS"/>
    <s v="3G1TB5CF4GL196616"/>
    <n v="20171231"/>
    <n v="20181230"/>
    <m/>
    <s v="60250"/>
    <s v="Vigente"/>
    <s v="00000264753815"/>
    <s v="NUEVO LEON"/>
    <n v="2017"/>
    <s v="Privado"/>
    <s v="AVEO &quot;F&quot; STD EE ABS A.AC. MP3 B/A 4P"/>
    <s v="0079227039"/>
    <s v="FRANCISCO JAVIER PAEZ VENECIA"/>
    <s v="Terminado"/>
    <s v="3RO CAMION URBANO"/>
    <s v="NUEVO LEON"/>
    <x v="0"/>
    <s v="17:26"/>
    <s v="MIGUEL ALEMAN"/>
    <d v="2018-03-07T00:00:00"/>
    <x v="0"/>
    <n v="33"/>
    <s v="ASEGURADO"/>
    <x v="8"/>
    <x v="2"/>
    <x v="8"/>
    <m/>
    <x v="9"/>
    <s v="FRANCISCO JAVIER PAEZ VENECIA"/>
  </r>
  <r>
    <s v="00000264965278"/>
    <s v="1"/>
    <s v="36868"/>
    <n v="0"/>
    <n v="1123.69"/>
    <n v="0"/>
    <n v="0"/>
    <n v="1440"/>
    <n v="216"/>
    <n v="0"/>
    <n v="0"/>
    <n v="0"/>
    <n v="0"/>
    <n v="1656"/>
    <n v="1440"/>
    <n v="0"/>
    <n v="0"/>
    <n v="0"/>
    <n v="0"/>
    <s v="20181107"/>
    <s v="G.N.P. ARRENDAMIENTO Y ADMINISTRACION DE FLOTILLAS"/>
    <s v="3G1TB5CF2GL196176"/>
    <n v="20171231"/>
    <n v="20181230"/>
    <m/>
    <s v="60250"/>
    <s v="Vigente"/>
    <s v="00000264753815"/>
    <s v="VERACRUZ"/>
    <n v="2017"/>
    <s v="Privado"/>
    <s v="AVEO &quot;F&quot; STD EE ABS A.AC. MP3 B/A 4P"/>
    <s v="0079221768"/>
    <s v="MANUEL DELGADO ESPINOZA"/>
    <s v="Reabierto"/>
    <s v="COLISION CON BACHE"/>
    <s v="Veracruz"/>
    <x v="0"/>
    <s v="15:57"/>
    <s v="VERACRUZ  ALAMO"/>
    <d v="2018-03-07T00:00:00"/>
    <x v="0"/>
    <n v="33"/>
    <s v="ASEGURADO"/>
    <x v="8"/>
    <x v="2"/>
    <x v="8"/>
    <m/>
    <x v="9"/>
    <s v="MANUEL DELGADO ESPINOZA"/>
  </r>
  <r>
    <s v="00000264965294"/>
    <s v="1"/>
    <s v="36868"/>
    <n v="7486.23"/>
    <n v="2529.69"/>
    <n v="0"/>
    <n v="0"/>
    <n v="3695.19"/>
    <n v="-1794.42"/>
    <n v="0"/>
    <n v="-15658"/>
    <n v="0"/>
    <n v="0"/>
    <n v="-13757.23"/>
    <n v="3695.19"/>
    <n v="0"/>
    <n v="0"/>
    <n v="0"/>
    <n v="0"/>
    <s v="20180106"/>
    <s v="G.N.P. ARRENDAMIENTO Y ADMINISTRACION DE FLOTILLAS"/>
    <s v="3G1TB5CF6GL193765"/>
    <n v="20171231"/>
    <n v="20181230"/>
    <m/>
    <s v="60250"/>
    <s v="Vigente"/>
    <s v="00000264753815"/>
    <s v="NUEVO LEON"/>
    <n v="2017"/>
    <s v="Privado"/>
    <s v="AVEO &quot;F&quot; STD EE ABS A.AC. MP3 B/A 4P"/>
    <s v="0079239117"/>
    <s v="SARA SANTILLANA RENTERIA"/>
    <s v="Terminado"/>
    <s v="SI HAY 3RO CAMIONETA EN 06"/>
    <s v="NUEVO LEON"/>
    <x v="0"/>
    <s v="08:52"/>
    <s v="GENERAL PLUTARCO ELIAS CALLES"/>
    <d v="2018-03-08T00:00:00"/>
    <x v="0"/>
    <n v="33"/>
    <s v="ASEGURADO"/>
    <x v="8"/>
    <x v="2"/>
    <x v="8"/>
    <m/>
    <x v="9"/>
    <s v="SARA SANTILLANA RENTERIA"/>
  </r>
  <r>
    <s v="00000264965294"/>
    <s v="1"/>
    <s v="36868"/>
    <n v="0"/>
    <n v="0"/>
    <n v="0"/>
    <n v="0"/>
    <n v="8529.11"/>
    <n v="-1069.33"/>
    <n v="0"/>
    <n v="-15658"/>
    <n v="0"/>
    <n v="0"/>
    <n v="-8198.2199999999993"/>
    <n v="8529.11"/>
    <n v="0"/>
    <n v="0"/>
    <n v="0"/>
    <n v="0"/>
    <s v="20180115"/>
    <s v="G.N.P. ARRENDAMIENTO Y ADMINISTRACION DE FLOTILLAS"/>
    <s v="3G1TB5CF6GL193765"/>
    <n v="20171231"/>
    <n v="20181230"/>
    <m/>
    <s v="60250"/>
    <s v="Vigente"/>
    <s v="00000264753815"/>
    <s v="DISTRITO FEDERAL"/>
    <n v="2017"/>
    <s v="Privado"/>
    <s v="AVEO &quot;F&quot; STD EE ABS A.AC. MP3 B/A 4P"/>
    <s v="0079292017"/>
    <s v="CESAR EDUARDO PEREZ SANCHEZ"/>
    <s v="Pendiente"/>
    <s v="SI HAY 3RO JETTA COLOR ROJO"/>
    <s v="Distrito Federal"/>
    <x v="0"/>
    <s v="14:04"/>
    <s v="MEDELLIN"/>
    <d v="2018-03-09T00:00:00"/>
    <x v="0"/>
    <n v="33"/>
    <s v="TERCERO"/>
    <x v="8"/>
    <x v="2"/>
    <x v="8"/>
    <m/>
    <x v="9"/>
    <s v="CESAR EDUARDO PEREZ SANCHEZ"/>
  </r>
  <r>
    <s v="00000264965294"/>
    <s v="1"/>
    <s v="36868"/>
    <n v="0"/>
    <n v="1871.56"/>
    <n v="0"/>
    <n v="0"/>
    <n v="3250"/>
    <n v="970.5"/>
    <n v="0"/>
    <n v="0"/>
    <n v="0"/>
    <n v="0"/>
    <n v="4220.5"/>
    <n v="0"/>
    <n v="0"/>
    <n v="0"/>
    <n v="3250"/>
    <n v="0"/>
    <s v="20181021"/>
    <s v="G.N.P. ARRENDAMIENTO Y ADMINISTRACION DE FLOTILLAS"/>
    <s v="3G1TB5CF6GL193765"/>
    <n v="20171231"/>
    <n v="20181230"/>
    <m/>
    <s v="60250"/>
    <s v="Vigente"/>
    <s v="00000264756040"/>
    <s v="DISTRITO FEDERAL"/>
    <n v="2018"/>
    <s v="Privado"/>
    <s v="HONDA"/>
    <s v="0079306247"/>
    <s v="DANIEL BRAYAN ALVITOS AVILA"/>
    <s v="Terminado"/>
    <s v="3ERO RENAULT"/>
    <s v="NUEVO LEON"/>
    <x v="0"/>
    <s v="19:00"/>
    <s v="LAS AMERICAS"/>
    <d v="2018-03-09T00:00:00"/>
    <x v="0"/>
    <n v="33"/>
    <m/>
    <x v="8"/>
    <x v="2"/>
    <x v="8"/>
    <m/>
    <x v="9"/>
    <s v="DANIEL BRAYAN ALVITOS AVILA"/>
  </r>
  <r>
    <s v="00000264965310"/>
    <s v="1"/>
    <s v="36868"/>
    <n v="0"/>
    <n v="1704.27"/>
    <n v="0"/>
    <n v="0"/>
    <n v="18841.21"/>
    <n v="672.48"/>
    <n v="0"/>
    <n v="-15658"/>
    <n v="0"/>
    <n v="1300"/>
    <n v="5155.6899999999996"/>
    <n v="17141.21"/>
    <n v="1700"/>
    <n v="0"/>
    <n v="0"/>
    <n v="0"/>
    <s v="20181018"/>
    <s v="G.N.P. ARRENDAMIENTO Y ADMINISTRACION DE FLOTILLAS"/>
    <s v="3G1TB5CF7GL194813"/>
    <n v="20171231"/>
    <n v="20181230"/>
    <m/>
    <s v="60250"/>
    <s v="Vigente"/>
    <s v="00000264753815"/>
    <s v="TABASCO"/>
    <n v="2017"/>
    <s v="Privado"/>
    <s v="AVEO &quot;F&quot; STD EE ABS A.AC. MP3 B/A 4P"/>
    <s v="0079409793"/>
    <s v="MANUEL ANTONIO RAMOS RAMIREZ"/>
    <s v="Pendiente"/>
    <s v="3RO POINTER GRIS"/>
    <s v="TABASCO"/>
    <x v="0"/>
    <s v="17:05"/>
    <s v="PASEO DE LA SIERRA"/>
    <d v="2018-03-13T00:00:00"/>
    <x v="0"/>
    <n v="33"/>
    <s v="TERCERO"/>
    <x v="8"/>
    <x v="2"/>
    <x v="8"/>
    <m/>
    <x v="9"/>
    <s v="MANUEL ANTONIO RAMOS RAMIREZ"/>
  </r>
  <r>
    <s v="00000264965328"/>
    <s v="1"/>
    <s v="36868"/>
    <n v="0"/>
    <n v="1183.3"/>
    <n v="0"/>
    <n v="0"/>
    <n v="0"/>
    <n v="0"/>
    <n v="0"/>
    <n v="0"/>
    <n v="0"/>
    <n v="0"/>
    <n v="0"/>
    <n v="0"/>
    <n v="0"/>
    <n v="0"/>
    <n v="0"/>
    <n v="0"/>
    <s v="20180326"/>
    <s v="G.N.P. ARRENDAMIENTO Y ADMINISTRACION DE FLOTILLAS"/>
    <s v="3G1TB5CF9GL196305"/>
    <n v="20171231"/>
    <n v="20181230"/>
    <m/>
    <s v="60250"/>
    <s v="Vigente"/>
    <s v="00000264753815"/>
    <s v="YUCATAN"/>
    <n v="2017"/>
    <s v="Privado"/>
    <s v="AVEO &quot;F&quot; STD EE ABS A.AC. MP3 B/A 4P"/>
    <s v="0079451779"/>
    <s v="LARRY CARLOS ESCALANTE SERRANO"/>
    <s v="Terminado"/>
    <s v="3ERO MOTOCILETA"/>
    <s v="YUCATAN"/>
    <x v="0"/>
    <s v="18:05"/>
    <s v="57"/>
    <d v="2018-03-14T00:00:00"/>
    <x v="0"/>
    <n v="33"/>
    <s v="TERCERO"/>
    <x v="8"/>
    <x v="2"/>
    <x v="8"/>
    <m/>
    <x v="9"/>
    <s v="LARRY CARLOS ESCALANTE SERRANO"/>
  </r>
  <r>
    <s v="00000264965328"/>
    <s v="1"/>
    <s v="36868"/>
    <n v="0"/>
    <n v="572.55999999999995"/>
    <n v="0"/>
    <n v="0"/>
    <n v="0"/>
    <n v="0"/>
    <n v="0"/>
    <n v="0"/>
    <n v="0"/>
    <n v="0"/>
    <n v="0"/>
    <n v="0"/>
    <n v="0"/>
    <n v="0"/>
    <n v="0"/>
    <n v="0"/>
    <s v="20180407"/>
    <s v="G.N.P. ARRENDAMIENTO Y ADMINISTRACION DE FLOTILLAS"/>
    <s v="3G1TB5CF9GL196305"/>
    <n v="20171231"/>
    <n v="20181230"/>
    <m/>
    <s v="60250"/>
    <s v="Vigente"/>
    <s v="00000264753815"/>
    <s v="NUEVO LEON"/>
    <n v="2016"/>
    <s v="Privado"/>
    <s v="AVEO &quot;F&quot; STD EE ABS A.AC. MP3 B/A 4P"/>
    <s v="0079551990"/>
    <s v="FRANCISCO JAVIER SAMPAYO HERNANDEZ"/>
    <s v="Reabierto"/>
    <s v="3RO ATTITUDE NEGRO"/>
    <s v="NUEVO LEON"/>
    <x v="0"/>
    <s v="12:52"/>
    <s v="PASEO DE LAS AZUCENAS"/>
    <d v="2018-03-17T00:00:00"/>
    <x v="0"/>
    <n v="33"/>
    <m/>
    <x v="8"/>
    <x v="2"/>
    <x v="8"/>
    <m/>
    <x v="9"/>
    <s v="FRANCISCO JAVIER SAMPAYO HERNANDEZ"/>
  </r>
  <r>
    <s v="00000264965328"/>
    <s v="1"/>
    <s v="36868"/>
    <n v="0"/>
    <n v="1164.22"/>
    <n v="0"/>
    <n v="0"/>
    <n v="0"/>
    <n v="986.7"/>
    <n v="0"/>
    <n v="0"/>
    <n v="0"/>
    <n v="6578"/>
    <n v="7564.7"/>
    <n v="0"/>
    <n v="0"/>
    <n v="0"/>
    <n v="0"/>
    <n v="0"/>
    <s v="20180612"/>
    <s v="G.N.P. ARRENDAMIENTO Y ADMINISTRACION DE FLOTILLAS"/>
    <s v="3G1TB5CF9GL196305"/>
    <n v="20171231"/>
    <n v="20181230"/>
    <m/>
    <s v="60250"/>
    <s v="Vigente"/>
    <s v="00000264753815"/>
    <s v="DISTRITO FEDERAL"/>
    <n v="2016"/>
    <s v="Privado"/>
    <s v="AVEO &quot;F&quot; STD EE ABS A.AC. MP3 B/A 4P"/>
    <s v="0079578357"/>
    <s v="MARCO ANTONIO FLORES BAEZ"/>
    <s v="Reabierto"/>
    <s v="VS UN BACHE"/>
    <s v="Mexico"/>
    <x v="0"/>
    <s v="15:48"/>
    <s v="PERIFERICO"/>
    <d v="2018-03-19T00:00:00"/>
    <x v="0"/>
    <n v="33"/>
    <m/>
    <x v="8"/>
    <x v="2"/>
    <x v="8"/>
    <m/>
    <x v="9"/>
    <s v="MARCO ANTONIO FLORES BAEZ"/>
  </r>
  <r>
    <s v="00000264965336"/>
    <s v="1"/>
    <s v="36868"/>
    <n v="0"/>
    <n v="1183.3"/>
    <n v="0"/>
    <n v="0"/>
    <n v="0"/>
    <n v="0"/>
    <n v="0"/>
    <n v="0"/>
    <n v="0"/>
    <n v="0"/>
    <n v="0"/>
    <n v="0"/>
    <n v="0"/>
    <n v="0"/>
    <n v="0"/>
    <n v="0"/>
    <s v="20180430"/>
    <s v="G.N.P. ARRENDAMIENTO Y ADMINISTRACION DE FLOTILLAS"/>
    <s v="3G1TB5CF3GL193433"/>
    <n v="20171231"/>
    <n v="20181230"/>
    <m/>
    <s v="60250"/>
    <s v="Vigente"/>
    <s v="00000264753815"/>
    <s v="MORELOS"/>
    <n v="2017"/>
    <s v="Privado"/>
    <s v="AVEO &quot;F&quot; STD EE ABS A.AC. MP3 B/A 4P"/>
    <s v="0079615779"/>
    <s v="AMELIA LEAL MATEOS"/>
    <s v="Pendiente"/>
    <s v="3RO AUDI GRIS"/>
    <s v="MORELOS"/>
    <x v="0"/>
    <s v="17:56"/>
    <s v="MEXICO     ACAPULCO"/>
    <d v="2018-03-20T00:00:00"/>
    <x v="0"/>
    <n v="33"/>
    <s v="TERCERO"/>
    <x v="8"/>
    <x v="2"/>
    <x v="8"/>
    <m/>
    <x v="9"/>
    <s v="AMELIA LEAL MATEOS"/>
  </r>
  <r>
    <s v="00000264965336"/>
    <s v="1"/>
    <s v="36868"/>
    <n v="0"/>
    <n v="1736.78"/>
    <n v="0"/>
    <n v="0"/>
    <n v="2100"/>
    <n v="315"/>
    <n v="0"/>
    <n v="0"/>
    <n v="0"/>
    <n v="0"/>
    <n v="2415"/>
    <n v="0"/>
    <n v="0"/>
    <n v="0"/>
    <n v="2100"/>
    <n v="0"/>
    <s v="20180807"/>
    <s v="G.N.P. ARRENDAMIENTO Y ADMINISTRACION DE FLOTILLAS"/>
    <s v="3G1TB5CF3GL193433"/>
    <n v="20171231"/>
    <n v="20181230"/>
    <m/>
    <s v="60250"/>
    <s v="Vigente"/>
    <s v="00000264753815"/>
    <s v="DISTRITO FEDERAL"/>
    <n v="2017"/>
    <s v="Privado"/>
    <s v="AVEO &quot;F&quot; STD EE ABS A.AC. MP3 B/A 4P"/>
    <s v="0079640728"/>
    <s v="ERIKA RUBIOLUGO ORTIZ"/>
    <s v="Reabierto"/>
    <s v="NO HAY 3RO VUELCA"/>
    <s v="HIDALGO"/>
    <x v="3"/>
    <s v="13:36"/>
    <s v="MEXICO PACHUCA"/>
    <d v="2018-03-21T00:00:00"/>
    <x v="2"/>
    <n v="33"/>
    <s v="ASEGURADO"/>
    <x v="8"/>
    <x v="2"/>
    <x v="8"/>
    <m/>
    <x v="9"/>
    <s v="ERIKA RUBIOLUGO ORTIZ"/>
  </r>
  <r>
    <s v="00000264965344"/>
    <s v="1"/>
    <s v="36868"/>
    <n v="6947.11"/>
    <n v="1717.69"/>
    <n v="6947.11"/>
    <n v="6947.11"/>
    <n v="4731"/>
    <n v="-1639.05"/>
    <n v="0"/>
    <n v="-15658"/>
    <n v="0"/>
    <n v="0"/>
    <n v="-12566.05"/>
    <n v="4731"/>
    <n v="0"/>
    <n v="0"/>
    <n v="0"/>
    <n v="0"/>
    <s v="20180125"/>
    <s v="G.N.P. ARRENDAMIENTO Y ADMINISTRACION DE FLOTILLAS"/>
    <s v="3G1TB5CF8GL195999"/>
    <n v="20171231"/>
    <n v="20181230"/>
    <m/>
    <s v="60250"/>
    <s v="Vigente"/>
    <s v="00000264753815"/>
    <s v="VERACRUZ"/>
    <n v="2017"/>
    <s v="Privado"/>
    <s v="AVEO &quot;F&quot; STD EE ABS A.AC. MP3 B/A 4P"/>
    <s v="0079625844"/>
    <s v="CRISTIAN ROBERTO ORTIZ NOLASCO"/>
    <s v="Reabierto"/>
    <s v="3RO MATIZ AZUL"/>
    <s v="Veracruz"/>
    <x v="0"/>
    <s v="08:31"/>
    <s v="MIGUEL ANGEL DE QUEVEDO"/>
    <d v="2018-03-21T00:00:00"/>
    <x v="0"/>
    <n v="33"/>
    <s v="TERCERO"/>
    <x v="8"/>
    <x v="2"/>
    <x v="8"/>
    <m/>
    <x v="9"/>
    <s v="CRISTIAN ROBERTO ORTIZ NOLASCO"/>
  </r>
  <r>
    <s v="00000264965419"/>
    <s v="1"/>
    <s v="36868"/>
    <n v="6498.86"/>
    <n v="3231.57"/>
    <n v="6498.86"/>
    <n v="6498.86"/>
    <n v="19010.150000000001"/>
    <n v="2851.52"/>
    <n v="0"/>
    <n v="0"/>
    <n v="0"/>
    <n v="0"/>
    <n v="21861.67"/>
    <n v="14525.15"/>
    <n v="0"/>
    <n v="0"/>
    <n v="4485"/>
    <n v="0"/>
    <s v="20180109"/>
    <s v="G.N.P. ARRENDAMIENTO Y ADMINISTRACION DE FLOTILLAS"/>
    <s v="3G1TB5CF3GL196137"/>
    <n v="20171231"/>
    <n v="20181230"/>
    <m/>
    <s v="60250"/>
    <s v="Vigente"/>
    <s v="00000264753815"/>
    <s v="DISTRITO FEDERAL"/>
    <n v="2016"/>
    <s v="Privado"/>
    <s v="AVEO &quot;F&quot; STD EE ABS A.AC. MP3 B/A 4P"/>
    <s v="0079730263"/>
    <s v="ERICK SEBASTIAN ANTONIO"/>
    <s v="Reabierto"/>
    <s v="NO HAY 3RO"/>
    <s v="Distrito Federal"/>
    <x v="0"/>
    <s v="16:36"/>
    <s v="CERRO DE LAS TORRES"/>
    <d v="2018-03-23T00:00:00"/>
    <x v="0"/>
    <n v="33"/>
    <m/>
    <x v="8"/>
    <x v="2"/>
    <x v="8"/>
    <m/>
    <x v="9"/>
    <s v="ERICK SEBASTIAN ANTONIO"/>
  </r>
  <r>
    <s v="00000264965427"/>
    <s v="1"/>
    <s v="36868"/>
    <n v="6498.86"/>
    <n v="2160.33"/>
    <n v="6498.86"/>
    <n v="6498.86"/>
    <n v="10704.81"/>
    <n v="1605.72"/>
    <n v="0"/>
    <n v="0"/>
    <n v="0"/>
    <n v="0"/>
    <n v="12310.53"/>
    <n v="10704.81"/>
    <n v="0"/>
    <n v="0"/>
    <n v="0"/>
    <n v="0"/>
    <s v="20180117"/>
    <s v="G.N.P. ARRENDAMIENTO Y ADMINISTRACION DE FLOTILLAS"/>
    <s v="3G1TB5CF4GL195109"/>
    <n v="20171231"/>
    <n v="20181230"/>
    <m/>
    <s v="60250"/>
    <s v="Vigente"/>
    <s v="00000264753815"/>
    <s v="QUINTANA ROO"/>
    <n v="2016"/>
    <s v="Privado"/>
    <s v="AVEO &quot;F&quot; STD EE ABS A.AC. MP3 B/A 4P"/>
    <s v="0079741252"/>
    <s v="GUILLERMO VALLEJO JARDON"/>
    <s v="Reabierto"/>
    <s v="3ERO TAXI NISSAN TSURU"/>
    <s v="QUINTANA ROO"/>
    <x v="0"/>
    <s v="23:43"/>
    <s v="CALLE 90NORTE"/>
    <d v="2018-03-23T00:00:00"/>
    <x v="0"/>
    <n v="33"/>
    <s v="TERCERO"/>
    <x v="8"/>
    <x v="2"/>
    <x v="8"/>
    <m/>
    <x v="9"/>
    <s v="GUILLERMO VALLEJO JARDON"/>
  </r>
  <r>
    <s v="00000264965450"/>
    <s v="1"/>
    <s v="36868"/>
    <n v="0"/>
    <n v="653.64"/>
    <n v="0"/>
    <n v="0"/>
    <n v="1807.18"/>
    <n v="271.08"/>
    <n v="0"/>
    <n v="0"/>
    <n v="0"/>
    <n v="0"/>
    <n v="2078.2600000000002"/>
    <n v="1807.18"/>
    <n v="0"/>
    <n v="0"/>
    <n v="0"/>
    <n v="0"/>
    <s v="20180910"/>
    <s v="G.N.P. ARRENDAMIENTO Y ADMINISTRACION DE FLOTILLAS"/>
    <s v="3G1TB5CF5GL196432"/>
    <n v="20171231"/>
    <n v="20181230"/>
    <m/>
    <s v="60250"/>
    <s v="Vigente"/>
    <s v="00000264753815"/>
    <s v="DISTRITO FEDERAL"/>
    <n v="2017"/>
    <s v="Privado"/>
    <s v="AVEO &quot;F&quot; STD EE ABS A.AC. MP3 B/A 4P"/>
    <s v="0079756573"/>
    <s v="MARCOS JOEL LEYVA HERNANDEZ"/>
    <s v="Terminado"/>
    <s v="SI HAY 3EOR AVE COLOR VINO"/>
    <s v="Mexico"/>
    <x v="0"/>
    <s v="18:16"/>
    <s v="MONTE CALVARIO"/>
    <d v="2018-03-24T00:00:00"/>
    <x v="0"/>
    <n v="33"/>
    <s v="TERCERO"/>
    <x v="8"/>
    <x v="2"/>
    <x v="8"/>
    <m/>
    <x v="9"/>
    <s v="MARCOS JOEL LEYVA HERNANDEZ"/>
  </r>
  <r>
    <s v="00000264965518"/>
    <s v="1"/>
    <s v="36868"/>
    <n v="0"/>
    <n v="385.84"/>
    <n v="0"/>
    <n v="0"/>
    <n v="0"/>
    <n v="14168"/>
    <n v="0"/>
    <n v="0"/>
    <n v="0"/>
    <n v="0"/>
    <n v="14168"/>
    <n v="0"/>
    <n v="0"/>
    <n v="0"/>
    <n v="0"/>
    <n v="0"/>
    <s v="20180424"/>
    <s v="G.N.P. ARRENDAMIENTO Y ADMINISTRACION DE FLOTILLAS"/>
    <s v="3G1TB5CF2GL196274"/>
    <n v="20171231"/>
    <n v="20181230"/>
    <m/>
    <s v="60250"/>
    <s v="Vigente"/>
    <s v="00000264753815"/>
    <s v="DISTRITO FEDERAL"/>
    <n v="2018"/>
    <s v="Privado"/>
    <s v="AVEO LT SEDAN W STD"/>
    <s v="0079745097"/>
    <s v="LUIS FERNANDO RIVERA CHAVARRIA"/>
    <s v="Reabierto"/>
    <s v="3RO VERSA VINO"/>
    <s v="Chihuahua"/>
    <x v="0"/>
    <s v="09:37"/>
    <s v="FRANCISCO  VILLA"/>
    <d v="2018-03-24T00:00:00"/>
    <x v="0"/>
    <n v="33"/>
    <s v="TERCERO"/>
    <x v="8"/>
    <x v="2"/>
    <x v="8"/>
    <m/>
    <x v="9"/>
    <s v="LUIS FERNANDO RIVERA CHAVARRIA"/>
  </r>
  <r>
    <s v="00000264965534"/>
    <s v="1"/>
    <s v="36868"/>
    <n v="0"/>
    <n v="1187.83"/>
    <n v="0"/>
    <n v="0"/>
    <n v="11799.18"/>
    <n v="5676.59"/>
    <n v="0"/>
    <n v="-6496.25"/>
    <n v="0"/>
    <n v="29320.99"/>
    <n v="40300.51"/>
    <n v="0"/>
    <n v="0"/>
    <n v="0"/>
    <n v="11799.18"/>
    <n v="0"/>
    <s v="20181107"/>
    <s v="G.N.P. ARRENDAMIENTO Y ADMINISTRACION DE FLOTILLAS"/>
    <s v="3G1TB5CF1GL196198"/>
    <n v="20171231"/>
    <n v="20181230"/>
    <m/>
    <s v="60250"/>
    <s v="Vigente"/>
    <s v="00000264753815"/>
    <s v="TAMAULIPAS"/>
    <n v="2016"/>
    <s v="Privado"/>
    <s v="AVEO &quot;F&quot; STD EE ABS A.AC. MP3 B/A 4P"/>
    <s v="0079791695"/>
    <s v="SANTOS ERNESTO RODRIGUEZ FLORES"/>
    <s v="Pendiente"/>
    <s v="VS BACHE"/>
    <s v="Veracruz"/>
    <x v="0"/>
    <s v="15:45"/>
    <s v="TAMPICO..TUXPAN"/>
    <d v="2018-03-26T00:00:00"/>
    <x v="0"/>
    <n v="33"/>
    <m/>
    <x v="8"/>
    <x v="2"/>
    <x v="8"/>
    <m/>
    <x v="9"/>
    <s v="SANTOS ERNESTO RODRIGUEZ FLORES"/>
  </r>
  <r>
    <s v="00000264965559"/>
    <s v="1"/>
    <s v="36868"/>
    <n v="0"/>
    <n v="890.07"/>
    <n v="0"/>
    <n v="0"/>
    <n v="2510.59"/>
    <n v="376.59"/>
    <n v="0"/>
    <n v="0"/>
    <n v="0"/>
    <n v="0"/>
    <n v="2887.18"/>
    <n v="2510.59"/>
    <n v="0"/>
    <n v="0"/>
    <n v="0"/>
    <n v="0"/>
    <s v="20180718"/>
    <s v="G.N.P. ARRENDAMIENTO Y ADMINISTRACION DE FLOTILLAS"/>
    <s v="3G1TB5CF9GL196174"/>
    <n v="20171231"/>
    <n v="20181230"/>
    <m/>
    <s v="60250"/>
    <s v="Vigente"/>
    <s v="00000264753815"/>
    <s v="TABASCO"/>
    <n v="2017"/>
    <s v="Privado"/>
    <s v="AVEO &quot;F&quot; STD EE ABS A.AC. MP3 B/A 4P"/>
    <s v="0079781027"/>
    <s v="JOSE ALBERTO GUTIERREZ ATIENZO"/>
    <s v="Pendiente"/>
    <s v="VOLCADURA"/>
    <s v="Coahuila"/>
    <x v="3"/>
    <s v="12:20"/>
    <s v="CARRTEREA SAN PEDRO 4 CIENEGAS"/>
    <d v="2018-03-26T00:00:00"/>
    <x v="3"/>
    <n v="33"/>
    <s v="ASEGURADO"/>
    <x v="8"/>
    <x v="2"/>
    <x v="8"/>
    <m/>
    <x v="9"/>
    <s v="JOSE ALBERTO GUTIERREZ ATIENZO"/>
  </r>
  <r>
    <s v="00000264965583"/>
    <s v="1"/>
    <s v="36868"/>
    <n v="0"/>
    <n v="677.46"/>
    <n v="0"/>
    <n v="0"/>
    <n v="15658"/>
    <n v="2348.6999999999998"/>
    <n v="0"/>
    <n v="0"/>
    <n v="0"/>
    <n v="0"/>
    <n v="18006.7"/>
    <n v="0"/>
    <n v="0"/>
    <n v="0"/>
    <n v="15658"/>
    <n v="0"/>
    <s v="20181005"/>
    <s v="G.N.P. ARRENDAMIENTO Y ADMINISTRACION DE FLOTILLAS"/>
    <s v="3G1TB5CF2GL194671"/>
    <n v="20171231"/>
    <n v="20181230"/>
    <m/>
    <s v="60250"/>
    <s v="Vigente"/>
    <s v="00000264753815"/>
    <s v="CHIHUAHUA"/>
    <n v="2016"/>
    <s v="Privado"/>
    <s v="AVEO &quot;F&quot; STD EE ABS A.AC. MP3 B/A 4P"/>
    <s v="0079867271"/>
    <m/>
    <s v="Terminado"/>
    <s v="PARABRISAS"/>
    <s v="Chihuahua"/>
    <x v="1"/>
    <s v="15:44"/>
    <s v="PARABRISAS"/>
    <d v="2018-03-28T00:00:00"/>
    <x v="0"/>
    <n v="33"/>
    <m/>
    <x v="8"/>
    <x v="2"/>
    <x v="8"/>
    <m/>
    <x v="9"/>
    <m/>
  </r>
  <r>
    <s v="00000264965583"/>
    <s v="1"/>
    <s v="36868"/>
    <n v="0"/>
    <n v="655.6"/>
    <n v="0"/>
    <n v="0"/>
    <n v="61657.06"/>
    <n v="12174.12"/>
    <n v="0"/>
    <n v="-6496.25"/>
    <n v="0"/>
    <n v="26000"/>
    <n v="93334.93"/>
    <n v="30341.06"/>
    <n v="0"/>
    <n v="0"/>
    <n v="31316"/>
    <n v="0"/>
    <s v="20181204"/>
    <s v="G.N.P. ARRENDAMIENTO Y ADMINISTRACION DE FLOTILLAS"/>
    <s v="3G1TB5CF2GL194671"/>
    <n v="20171231"/>
    <n v="20181230"/>
    <m/>
    <s v="60250"/>
    <s v="Vigente"/>
    <s v="00000264753815"/>
    <s v="JALISCO"/>
    <n v="2016"/>
    <s v="Privado"/>
    <s v="AVEO &quot;F&quot; STD EE ABS A.AC. MP3 B/A 4P"/>
    <s v="0079856803"/>
    <s v="SAUL ALFREDO ESPARZA SERRANO"/>
    <s v="Pendiente"/>
    <s v="3RO SI HAY CAMIONETA ROJA"/>
    <s v="JALISCO"/>
    <x v="0"/>
    <s v="12:11"/>
    <s v="SAN PABLO"/>
    <d v="2018-03-28T00:00:00"/>
    <x v="0"/>
    <n v="33"/>
    <m/>
    <x v="8"/>
    <x v="2"/>
    <x v="8"/>
    <m/>
    <x v="9"/>
    <s v="SAUL ALFREDO ESPARZA SERRANO"/>
  </r>
  <r>
    <s v="00000264965666"/>
    <s v="1"/>
    <s v="36868"/>
    <n v="0"/>
    <n v="3013.67"/>
    <n v="0"/>
    <n v="0"/>
    <n v="33996.839999999997"/>
    <n v="5099.53"/>
    <n v="0"/>
    <n v="0"/>
    <n v="0"/>
    <n v="0"/>
    <n v="39096.370000000003"/>
    <n v="19777.84"/>
    <n v="0"/>
    <n v="0"/>
    <n v="14219"/>
    <n v="0"/>
    <s v="20180413"/>
    <s v="G.N.P. ARRENDAMIENTO Y ADMINISTRACION DE FLOTILLAS"/>
    <s v="1GCZG9FG2G1173888"/>
    <n v="20171231"/>
    <n v="20181230"/>
    <m/>
    <s v="60250"/>
    <s v="Cancelada"/>
    <s v="00000264753815"/>
    <s v="DISTRITO FEDERAL"/>
    <n v="2014"/>
    <s v="Privado"/>
    <s v="AVEO B STD"/>
    <s v="0080179294"/>
    <s v="GERARDO IVAN MARQUEZ SEPULVEDA"/>
    <s v="Pendiente"/>
    <s v="3RO BMW NEGRO"/>
    <s v="Distrito Federal"/>
    <x v="0"/>
    <s v="11:16"/>
    <s v="BARRANCA DEL MUERTO"/>
    <d v="2018-04-10T00:00:00"/>
    <x v="0"/>
    <n v="33"/>
    <s v="TERCERO"/>
    <x v="9"/>
    <x v="2"/>
    <x v="8"/>
    <m/>
    <x v="9"/>
    <s v="GERARDO IVAN MARQUEZ SEPULVEDA"/>
  </r>
  <r>
    <s v="00000264965674"/>
    <s v="1"/>
    <s v="36868"/>
    <n v="0"/>
    <n v="3169.3"/>
    <n v="0"/>
    <n v="0"/>
    <n v="12192.29"/>
    <n v="1828.84"/>
    <n v="0"/>
    <n v="0"/>
    <n v="0"/>
    <n v="0"/>
    <n v="14021.13"/>
    <n v="12192.29"/>
    <n v="0"/>
    <n v="0"/>
    <n v="0"/>
    <n v="0"/>
    <s v="20180413"/>
    <s v="G.N.P. ARRENDAMIENTO Y ADMINISTRACION DE FLOTILLAS"/>
    <s v="1GCZG9FG1G1178466"/>
    <n v="20171231"/>
    <n v="20181230"/>
    <m/>
    <s v="60250"/>
    <s v="Vigente"/>
    <s v="00000264753815"/>
    <s v="TAMAULIPAS"/>
    <n v="2016"/>
    <s v="Privado"/>
    <s v="AVEO &quot;F&quot; STD EE ABS A.AC. MP3 B/A 4P"/>
    <s v="0080100175"/>
    <s v="SANTOS ERNESTO RODRIGUEZ FLORES"/>
    <s v="Terminado"/>
    <s v="HOYOS. DA.O AL VEHICULO"/>
    <s v="Veracruz"/>
    <x v="0"/>
    <s v="03:58"/>
    <s v="PANUCO.TEMPOAL"/>
    <d v="2018-04-07T00:00:00"/>
    <x v="0"/>
    <n v="33"/>
    <s v="ASEGURADO"/>
    <x v="9"/>
    <x v="2"/>
    <x v="8"/>
    <m/>
    <x v="9"/>
    <s v="SANTOS ERNESTO RODRIGUEZ FLORES"/>
  </r>
  <r>
    <s v="00000264965682"/>
    <s v="1"/>
    <s v="36868"/>
    <n v="0"/>
    <n v="6362.96"/>
    <n v="0"/>
    <n v="0"/>
    <n v="0"/>
    <n v="-284.62"/>
    <n v="0"/>
    <n v="-15658"/>
    <n v="0"/>
    <n v="13760.55"/>
    <n v="-2182.0700000000002"/>
    <n v="0"/>
    <n v="0"/>
    <n v="0"/>
    <n v="0"/>
    <n v="0"/>
    <s v="20180926"/>
    <s v="G.N.P. ARRENDAMIENTO Y ADMINISTRACION DE FLOTILLAS"/>
    <s v="WB10B0400GZ297455"/>
    <n v="20171231"/>
    <n v="20181230"/>
    <m/>
    <s v="60250"/>
    <s v="Vigente"/>
    <s v="00000264756040"/>
    <s v="DISTRITO FEDERAL"/>
    <n v="2016"/>
    <s v="Privado"/>
    <s v="HONDA"/>
    <s v="0080165152"/>
    <s v="ERIBERTO GARCIA DOMINGUEZ"/>
    <s v="Pendiente"/>
    <s v="3RO EN FUGA"/>
    <s v="Distrito Federal"/>
    <x v="0"/>
    <s v="20:00"/>
    <s v="FRAY SERBANTO"/>
    <d v="2018-04-09T00:00:00"/>
    <x v="0"/>
    <n v="33"/>
    <s v="ASEGURADO"/>
    <x v="9"/>
    <x v="2"/>
    <x v="8"/>
    <m/>
    <x v="9"/>
    <s v="ERIBERTO GARCIA DOMINGUEZ"/>
  </r>
  <r>
    <s v="00000264965682"/>
    <s v="1"/>
    <s v="36868"/>
    <n v="0"/>
    <n v="3129.32"/>
    <n v="0"/>
    <n v="0"/>
    <n v="0"/>
    <n v="34.39"/>
    <n v="0"/>
    <n v="-15658"/>
    <n v="0"/>
    <n v="15887.24"/>
    <n v="263.63"/>
    <n v="0"/>
    <n v="0"/>
    <n v="0"/>
    <n v="0"/>
    <n v="0"/>
    <s v="20181123"/>
    <s v="G.N.P. ARRENDAMIENTO Y ADMINISTRACION DE FLOTILLAS"/>
    <s v="WB10B0400GZ297455"/>
    <n v="20171231"/>
    <n v="20181230"/>
    <m/>
    <s v="60250"/>
    <s v="Vigente"/>
    <s v="00000264753815"/>
    <s v="NUEVO LEON"/>
    <n v="2017"/>
    <s v="Privado"/>
    <s v="AVEO &quot;F&quot; STD EE ABS A.AC. MP3 B/A 4P"/>
    <s v="0080173958"/>
    <s v="BRNADON JAHZIEL MARTINEZ ORTIZ"/>
    <s v="Terminado"/>
    <s v="3ROPRSENTE"/>
    <s v="NUEVO LEON"/>
    <x v="0"/>
    <s v="09:15"/>
    <s v="DIANA ARTEMIZA"/>
    <d v="2018-04-10T00:00:00"/>
    <x v="0"/>
    <n v="33"/>
    <s v="TERCERO"/>
    <x v="9"/>
    <x v="2"/>
    <x v="8"/>
    <m/>
    <x v="9"/>
    <s v="BRNADON JAHZIEL MARTINEZ ORTIZ"/>
  </r>
  <r>
    <s v="00000264965690"/>
    <s v="1"/>
    <s v="36868"/>
    <n v="0"/>
    <n v="9596.59"/>
    <n v="0"/>
    <n v="0"/>
    <n v="8526.8700000000008"/>
    <n v="1293.3699999999999"/>
    <n v="0"/>
    <n v="0"/>
    <n v="0"/>
    <n v="95.62"/>
    <n v="9915.86"/>
    <n v="0"/>
    <n v="0"/>
    <n v="0"/>
    <n v="8526.8700000000008"/>
    <n v="0"/>
    <s v="20180525"/>
    <s v="G.N.P. ARRENDAMIENTO Y ADMINISTRACION DE FLOTILLAS"/>
    <s v="WB10B0403GZ297496"/>
    <n v="20171231"/>
    <n v="20181230"/>
    <m/>
    <s v="60250"/>
    <s v="Vigente"/>
    <s v="00000264753815"/>
    <s v="BAJA CALIFORNIA SUR"/>
    <n v="2018"/>
    <s v="Privado"/>
    <s v="AVEO LT SEDAN W STD"/>
    <s v="0080202476"/>
    <s v="VICTOR ALFONSO ARIAS MALAGON"/>
    <s v="Pendiente"/>
    <s v="SI HAY 3ERO TOYOTA RUNNER COLOR 05"/>
    <s v="BAJA CALIFORNIA SUR"/>
    <x v="0"/>
    <s v="20:03"/>
    <s v="LIBRAMIENTO SAN JOSE AEROPUERTO"/>
    <d v="2018-04-10T00:00:00"/>
    <x v="2"/>
    <n v="33"/>
    <s v="TERCERO"/>
    <x v="9"/>
    <x v="2"/>
    <x v="8"/>
    <m/>
    <x v="9"/>
    <s v="VICTOR ALFONSO ARIAS MALAGON"/>
  </r>
  <r>
    <s v="00000264965690"/>
    <s v="1"/>
    <s v="36868"/>
    <n v="0"/>
    <n v="6362.96"/>
    <n v="0"/>
    <n v="0"/>
    <n v="0"/>
    <n v="6422.13"/>
    <n v="0"/>
    <n v="0"/>
    <n v="0"/>
    <n v="11610.84"/>
    <n v="18032.97"/>
    <n v="0"/>
    <n v="0"/>
    <n v="0"/>
    <n v="0"/>
    <n v="0"/>
    <s v="20180710"/>
    <s v="G.N.P. ARRENDAMIENTO Y ADMINISTRACION DE FLOTILLAS"/>
    <s v="WB10B0403GZ297496"/>
    <n v="20171231"/>
    <n v="20181230"/>
    <m/>
    <s v="60250"/>
    <s v="Vigente"/>
    <s v="00000264756040"/>
    <s v="DISTRITO FEDERAL"/>
    <n v="2016"/>
    <s v="Privado"/>
    <s v="HONDA"/>
    <s v="0080280647"/>
    <s v="DIEGO MAURICIO PEDRAZA JAIMES"/>
    <s v="Reabierto"/>
    <s v="SE LA ROBAN AL AJUSTADOR 595"/>
    <s v="Distrito Federal"/>
    <x v="4"/>
    <s v="22:16"/>
    <s v="SANTA ROSALIA"/>
    <d v="2018-04-12T00:00:00"/>
    <x v="4"/>
    <n v="33"/>
    <m/>
    <x v="9"/>
    <x v="2"/>
    <x v="8"/>
    <m/>
    <x v="9"/>
    <s v="DIEGO MAURICIO PEDRAZA JAIMES"/>
  </r>
  <r>
    <s v="00000264965708"/>
    <s v="1"/>
    <s v="36868"/>
    <n v="0"/>
    <n v="9492.2800000000007"/>
    <n v="0"/>
    <n v="0"/>
    <n v="0"/>
    <n v="1024.8800000000001"/>
    <n v="0"/>
    <n v="0"/>
    <n v="0"/>
    <n v="0"/>
    <n v="1024.8800000000001"/>
    <n v="0"/>
    <n v="0"/>
    <n v="0"/>
    <n v="0"/>
    <n v="0"/>
    <s v="20180412"/>
    <s v="G.N.P. ARRENDAMIENTO Y ADMINISTRACION DE FLOTILLAS"/>
    <s v="WB10B0401GZ297495"/>
    <n v="20171231"/>
    <n v="20181230"/>
    <m/>
    <s v="60250"/>
    <s v="Vigente"/>
    <s v="00000264755588"/>
    <s v="BAJA CALIFORNIA NTE."/>
    <n v="2016"/>
    <s v="Privado"/>
    <s v="CHEVROLET EXPRESS CARGO VAN &quot;B&quot;"/>
    <s v="0080288103"/>
    <s v="JOSE FRANCISCO PINEDA ORNELAS"/>
    <s v="Pendiente"/>
    <s v="SIN DATOS DE QUIEN REPORTA"/>
    <s v="YUCATAN"/>
    <x v="3"/>
    <s v="10:15"/>
    <s v="61"/>
    <d v="2018-04-13T00:00:00"/>
    <x v="0"/>
    <n v="33"/>
    <s v="TERCERO"/>
    <x v="9"/>
    <x v="2"/>
    <x v="8"/>
    <m/>
    <x v="9"/>
    <s v="JOSE FRANCISCO PINEDA ORNELAS"/>
  </r>
  <r>
    <s v="00000264965716"/>
    <s v="1"/>
    <s v="36868"/>
    <n v="0"/>
    <n v="11590.15"/>
    <n v="0"/>
    <n v="0"/>
    <n v="3250"/>
    <n v="2339.27"/>
    <n v="0"/>
    <n v="-3250"/>
    <n v="0"/>
    <n v="15595.14"/>
    <n v="17934.41"/>
    <n v="0"/>
    <n v="3250"/>
    <n v="0"/>
    <n v="0"/>
    <n v="0"/>
    <s v="20180622"/>
    <s v="G.N.P. ARRENDAMIENTO Y ADMINISTRACION DE FLOTILLAS"/>
    <s v="WB10B0400GZ296998"/>
    <n v="20171231"/>
    <n v="20181230"/>
    <m/>
    <s v="60250"/>
    <s v="Vigente"/>
    <s v="00000264753815"/>
    <s v="DISTRITO FEDERAL"/>
    <n v="2018"/>
    <s v="Privado"/>
    <s v="AVEO LT SEDAN W STD"/>
    <s v="0080309362"/>
    <s v="ESTACIONADO ESTACIONADO ESTACIONADO"/>
    <s v="Reabierto"/>
    <s v="HAY 3RO . TSURU COLOR BLANCO"/>
    <s v="Mexico"/>
    <x v="0"/>
    <s v="16:22"/>
    <s v="PASEO DE LA HERRADURA"/>
    <d v="2018-04-13T00:00:00"/>
    <x v="0"/>
    <n v="33"/>
    <s v="TERCERO"/>
    <x v="9"/>
    <x v="2"/>
    <x v="8"/>
    <m/>
    <x v="9"/>
    <s v="ESTACIONADO ESTACIONADO ESTACIONADO"/>
  </r>
  <r>
    <s v="00000264965732"/>
    <s v="1"/>
    <s v="36868"/>
    <n v="0"/>
    <n v="9492.2800000000007"/>
    <n v="0"/>
    <n v="0"/>
    <n v="3250"/>
    <n v="-1788.45"/>
    <n v="0"/>
    <n v="-18908"/>
    <n v="0"/>
    <n v="3735"/>
    <n v="-13711.45"/>
    <n v="0"/>
    <n v="3250"/>
    <n v="0"/>
    <n v="0"/>
    <n v="0"/>
    <s v="20180424"/>
    <s v="G.N.P. ARRENDAMIENTO Y ADMINISTRACION DE FLOTILLAS"/>
    <s v="WB10B040XGZ297785"/>
    <n v="20171231"/>
    <n v="20181230"/>
    <m/>
    <s v="60250"/>
    <s v="Vigente"/>
    <s v="00000264756040"/>
    <s v="DISTRITO FEDERAL"/>
    <n v="2018"/>
    <s v="Privado"/>
    <s v="HONDA"/>
    <s v="0080373186"/>
    <s v="HUMBERTO VALENCIA MEJIA"/>
    <s v="Terminado"/>
    <s v="VS SENTRA COLOR  GRIS"/>
    <s v="Distrito Federal"/>
    <x v="0"/>
    <s v="15:22"/>
    <s v="CALLE DE IGLESIA 270"/>
    <d v="2018-04-16T00:00:00"/>
    <x v="0"/>
    <n v="33"/>
    <s v="ASEGURADO"/>
    <x v="9"/>
    <x v="2"/>
    <x v="8"/>
    <m/>
    <x v="9"/>
    <s v="HUMBERTO VALENCIA MEJIA"/>
  </r>
  <r>
    <s v="00000264965732"/>
    <s v="1"/>
    <s v="36868"/>
    <n v="0"/>
    <n v="12725.92"/>
    <n v="0"/>
    <n v="0"/>
    <n v="5793.1"/>
    <n v="12839.31"/>
    <n v="0"/>
    <n v="-7745"/>
    <n v="0"/>
    <n v="67806.39"/>
    <n v="78693.8"/>
    <n v="0"/>
    <n v="5793.1"/>
    <n v="0"/>
    <n v="0"/>
    <n v="0"/>
    <s v="20180726"/>
    <s v="G.N.P. ARRENDAMIENTO Y ADMINISTRACION DE FLOTILLAS"/>
    <s v="WB10B040XGZ297785"/>
    <n v="20171231"/>
    <n v="20181230"/>
    <m/>
    <s v="60250"/>
    <s v="Vigente"/>
    <s v="00000264753815"/>
    <s v="DISTRITO FEDERAL"/>
    <n v="2016"/>
    <s v="Privado"/>
    <s v="AVEO &quot;F&quot; STD EE ABS A.AC. MP3 B/A 4P"/>
    <s v="0080421183"/>
    <s v="ALONSO ORDO#EZ MARTINEZ"/>
    <s v="Reabierto"/>
    <s v="3RO NISSAN SENTRA COLOR GRIS"/>
    <s v="Distrito Federal"/>
    <x v="0"/>
    <s v="19:11"/>
    <s v="BARRO SIERRA"/>
    <d v="2018-04-17T00:00:00"/>
    <x v="0"/>
    <n v="33"/>
    <s v="TERCERO"/>
    <x v="9"/>
    <x v="2"/>
    <x v="8"/>
    <m/>
    <x v="9"/>
    <s v="ALONSO ORDO#EZ MARTINEZ"/>
  </r>
  <r>
    <s v="00000264965781"/>
    <s v="1"/>
    <s v="36868"/>
    <n v="0"/>
    <n v="1821.33"/>
    <n v="0"/>
    <n v="0"/>
    <n v="2800"/>
    <n v="420"/>
    <n v="0"/>
    <n v="0"/>
    <n v="0"/>
    <n v="0"/>
    <n v="3220"/>
    <n v="2800"/>
    <n v="0"/>
    <n v="0"/>
    <n v="0"/>
    <n v="0"/>
    <s v="20180216"/>
    <s v="G.N.P. ARRENDAMIENTO Y ADMINISTRACION DE FLOTILLAS"/>
    <s v="3G1TB5CF1GL204364"/>
    <n v="20171231"/>
    <n v="20181230"/>
    <m/>
    <s v="60250"/>
    <s v="Vigente"/>
    <s v="00000264753815"/>
    <s v="DISTRITO FEDERAL"/>
    <n v="2017"/>
    <s v="Privado"/>
    <s v="CHEVROLET TRAX LS 5V STD."/>
    <s v="0080509847"/>
    <s v="SCHOEDERS ANTONIO GUTIERREZ ARELLANO"/>
    <s v="Reabierto"/>
    <s v="PARABRISAS"/>
    <s v="Distrito Federal"/>
    <x v="5"/>
    <s v="09:12"/>
    <s v="CERRO DE LAS TORRES 395"/>
    <d v="2018-04-20T00:00:00"/>
    <x v="0"/>
    <n v="33"/>
    <m/>
    <x v="9"/>
    <x v="2"/>
    <x v="8"/>
    <m/>
    <x v="9"/>
    <s v="SCHOEDERS ANTONIO GUTIERREZ ARELLANO"/>
  </r>
  <r>
    <s v="00000264965799"/>
    <s v="1"/>
    <s v="36868"/>
    <n v="0"/>
    <n v="7867.8"/>
    <n v="0"/>
    <n v="0"/>
    <n v="38188.550000000003"/>
    <n v="4753.8500000000004"/>
    <n v="0"/>
    <n v="-6496.25"/>
    <n v="0"/>
    <n v="0"/>
    <n v="36446.15"/>
    <n v="33788.550000000003"/>
    <n v="4400"/>
    <n v="0"/>
    <n v="0"/>
    <n v="0"/>
    <s v="20180606"/>
    <s v="G.N.P. ARRENDAMIENTO Y ADMINISTRACION DE FLOTILLAS"/>
    <s v="3G1TB5CF1GL204767"/>
    <n v="20171231"/>
    <n v="20181230"/>
    <m/>
    <s v="60250"/>
    <s v="Vigente"/>
    <s v="00000264753815"/>
    <s v="GUANAJUATO"/>
    <n v="2016"/>
    <s v="Privado"/>
    <s v="AVEO &quot;F&quot; STD EE ABS A.AC. MP3 B/A 4P"/>
    <s v="0080606429"/>
    <m/>
    <s v="Reabierto"/>
    <s v="NA SOLICITA GRUA"/>
    <s v="JALISCO"/>
    <x v="0"/>
    <s v="07:19"/>
    <s v="CARRETERA SAN LUIS POTOSI LAGOS DE MORENO"/>
    <d v="2018-04-24T00:00:00"/>
    <x v="0"/>
    <n v="33"/>
    <m/>
    <x v="9"/>
    <x v="2"/>
    <x v="8"/>
    <m/>
    <x v="9"/>
    <m/>
  </r>
  <r>
    <s v="00000264965815"/>
    <s v="1"/>
    <s v="36868"/>
    <n v="0"/>
    <n v="539.29"/>
    <n v="0"/>
    <n v="0"/>
    <n v="0"/>
    <n v="-2348.6999999999998"/>
    <n v="0"/>
    <n v="-15658"/>
    <n v="0"/>
    <n v="0"/>
    <n v="-18006.7"/>
    <n v="0"/>
    <n v="0"/>
    <n v="0"/>
    <n v="0"/>
    <n v="0"/>
    <s v="20180808"/>
    <s v="G.N.P. ARRENDAMIENTO Y ADMINISTRACION DE FLOTILLAS"/>
    <s v="3G1TB5CF2GL203370"/>
    <n v="20171231"/>
    <n v="20181230"/>
    <m/>
    <s v="60250"/>
    <s v="Vigente"/>
    <s v="00000264756040"/>
    <s v="DISTRITO FEDERAL"/>
    <n v="2016"/>
    <s v="Privado"/>
    <s v="HONDA"/>
    <s v="0080627276"/>
    <s v="JORGE ALBERTO CARRETO SOSA"/>
    <s v="Pendiente"/>
    <s v="3ERO AVEO COLOR BLANCO"/>
    <s v="Distrito Federal"/>
    <x v="0"/>
    <s v="16:46"/>
    <s v="DE LOA LEONES"/>
    <d v="2018-04-24T00:00:00"/>
    <x v="0"/>
    <n v="33"/>
    <s v="TERCERO"/>
    <x v="9"/>
    <x v="2"/>
    <x v="8"/>
    <m/>
    <x v="9"/>
    <s v="JORGE ALBERTO CARRETO SOSA"/>
  </r>
  <r>
    <s v="00000264965880"/>
    <s v="1"/>
    <s v="36868"/>
    <n v="0"/>
    <n v="6050.03"/>
    <n v="37969.089999999997"/>
    <n v="37969.089999999997"/>
    <n v="15658"/>
    <n v="2348.6999999999998"/>
    <n v="0"/>
    <n v="0"/>
    <n v="0"/>
    <n v="0"/>
    <n v="18006.7"/>
    <n v="0"/>
    <n v="0"/>
    <n v="0"/>
    <n v="15658"/>
    <n v="0"/>
    <s v="20180201"/>
    <s v="G.N.P. ARRENDAMIENTO Y ADMINISTRACION DE FLOTILLAS"/>
    <s v="WB10B0401GZ298730"/>
    <n v="20171231"/>
    <n v="20181230"/>
    <m/>
    <s v="60250"/>
    <s v="Vigente"/>
    <s v="00000264753815"/>
    <s v="DISTRITO FEDERAL"/>
    <n v="2017"/>
    <s v="Privado"/>
    <s v="AVEO &quot;F&quot; STD EE ABS A.AC. MP3 B/A 4P"/>
    <s v="0080639396"/>
    <s v="LUIS ROBERTO NAVA MORENO"/>
    <s v="Terminado"/>
    <s v="SI 3ERO SUZUKY NEGRO"/>
    <s v="Distrito Federal"/>
    <x v="0"/>
    <s v="08:13"/>
    <s v="TLAHUAC"/>
    <d v="2018-04-25T00:00:00"/>
    <x v="0"/>
    <n v="33"/>
    <s v="TERCERO"/>
    <x v="9"/>
    <x v="2"/>
    <x v="8"/>
    <m/>
    <x v="9"/>
    <s v="LUIS ROBERTO NAVA MORENO"/>
  </r>
  <r>
    <s v="00000264965880"/>
    <s v="1"/>
    <s v="36868"/>
    <n v="0"/>
    <n v="6258.65"/>
    <n v="0"/>
    <n v="0"/>
    <n v="0"/>
    <n v="7726.93"/>
    <n v="0"/>
    <n v="0"/>
    <n v="0"/>
    <n v="51512.85"/>
    <n v="59239.78"/>
    <n v="0"/>
    <n v="0"/>
    <n v="0"/>
    <n v="0"/>
    <n v="0"/>
    <s v="20180921"/>
    <s v="G.N.P. ARRENDAMIENTO Y ADMINISTRACION DE FLOTILLAS"/>
    <s v="WB10B0401GZ298730"/>
    <n v="20171231"/>
    <n v="20181230"/>
    <m/>
    <s v="60250"/>
    <s v="Vigente"/>
    <s v="00000264753815"/>
    <s v="DISTRITO FEDERAL"/>
    <n v="2017"/>
    <s v="Privado"/>
    <s v="AVEO &quot;F&quot; STD EE ABS A.AC. MP3 B/A 4P"/>
    <s v="0080773542"/>
    <s v="MARCO ANTONIO CERVANTES GUIZAR"/>
    <s v="Terminado"/>
    <s v="3RO EN EL LUGAR NISSAN SENTRA"/>
    <s v="Distrito Federal"/>
    <x v="0"/>
    <s v="21:40"/>
    <s v="OBRERO MUNDIAL"/>
    <d v="2018-04-29T00:00:00"/>
    <x v="0"/>
    <n v="33"/>
    <s v="ASEGURADO"/>
    <x v="9"/>
    <x v="2"/>
    <x v="8"/>
    <m/>
    <x v="9"/>
    <s v="MARCO ANTONIO CERVANTES GUIZAR"/>
  </r>
  <r>
    <s v="00000264965906"/>
    <s v="1"/>
    <s v="36868"/>
    <n v="0"/>
    <n v="3233.63"/>
    <n v="0"/>
    <n v="0"/>
    <n v="15658"/>
    <n v="2348.6999999999998"/>
    <n v="0"/>
    <n v="0"/>
    <n v="0"/>
    <n v="0"/>
    <n v="18006.7"/>
    <n v="0"/>
    <n v="0"/>
    <n v="0"/>
    <n v="15658"/>
    <n v="0"/>
    <s v="20180806"/>
    <s v="G.N.P. ARRENDAMIENTO Y ADMINISTRACION DE FLOTILLAS"/>
    <s v="WB10B0409GZ298541"/>
    <n v="20171231"/>
    <n v="20181230"/>
    <m/>
    <s v="60250"/>
    <s v="Vigente"/>
    <s v="00000264753815"/>
    <s v="TAMAULIPAS"/>
    <n v="2016"/>
    <s v="Privado"/>
    <s v="AVEO &quot;F&quot; STD EE ABS A.AC. MP3 B/A 4P"/>
    <s v="0080776412"/>
    <s v="JOSE LUIS VAZQUEZ JUAREZ"/>
    <s v="Terminado"/>
    <s v="CAYO A VACHE TRAMO CARRETERO"/>
    <s v="TAMAULIPAS"/>
    <x v="0"/>
    <s v="08:38"/>
    <s v="TAMPICO    SOLOAMA"/>
    <d v="2018-04-30T00:00:00"/>
    <x v="0"/>
    <n v="33"/>
    <s v="ASEGURADO"/>
    <x v="9"/>
    <x v="2"/>
    <x v="8"/>
    <m/>
    <x v="9"/>
    <s v="JOSE LUIS VAZQUEZ JUAREZ"/>
  </r>
  <r>
    <s v="00000264965914"/>
    <s v="1"/>
    <s v="36868"/>
    <n v="0"/>
    <n v="15855.24"/>
    <n v="0"/>
    <n v="0"/>
    <n v="5793.1"/>
    <n v="15688.83"/>
    <n v="0"/>
    <n v="-7745.65"/>
    <n v="0"/>
    <n v="92889.51"/>
    <n v="106625.79"/>
    <n v="0"/>
    <n v="5793.1"/>
    <n v="0"/>
    <n v="0"/>
    <n v="0"/>
    <s v="20180409"/>
    <s v="G.N.P. ARRENDAMIENTO Y ADMINISTRACION DE FLOTILLAS"/>
    <s v="WB10B0409GZ298586"/>
    <n v="20171231"/>
    <n v="20181230"/>
    <m/>
    <s v="60250"/>
    <s v="Vigente"/>
    <s v="00000264753815"/>
    <s v="MORELOS"/>
    <n v="2017"/>
    <s v="Privado"/>
    <s v="AVEO &quot;F&quot; STD EE ABS A.AC. MP3 B/A 4P"/>
    <s v="0080779846"/>
    <s v="AMELIA LEAL MATEOS"/>
    <s v="Pendiente"/>
    <s v="PEATONES"/>
    <s v="MORELOS"/>
    <x v="0"/>
    <s v="10:11"/>
    <s v="EMILIANO ZAPATA"/>
    <d v="2018-04-30T00:00:00"/>
    <x v="0"/>
    <n v="33"/>
    <s v="ASEGURADO"/>
    <x v="9"/>
    <x v="2"/>
    <x v="8"/>
    <m/>
    <x v="9"/>
    <s v="AMELIA LEAL MATEOS"/>
  </r>
  <r>
    <s v="00000264965922"/>
    <s v="1"/>
    <s v="36868"/>
    <n v="0"/>
    <n v="626.58000000000004"/>
    <n v="0"/>
    <n v="0"/>
    <n v="4232"/>
    <n v="1117.92"/>
    <n v="0"/>
    <n v="0"/>
    <n v="0"/>
    <n v="0.82"/>
    <n v="5350.74"/>
    <n v="0"/>
    <n v="0"/>
    <n v="0"/>
    <n v="4232"/>
    <n v="0"/>
    <s v="20181012"/>
    <s v="G.N.P. ARRENDAMIENTO Y ADMINISTRACION DE FLOTILLAS"/>
    <s v="3G1TB5CF3HL107412"/>
    <n v="20171231"/>
    <n v="20181230"/>
    <m/>
    <s v="60250"/>
    <s v="Vigente"/>
    <s v="00000264753815"/>
    <s v="YUCATAN"/>
    <n v="2017"/>
    <s v="Privado"/>
    <s v="AVEO &quot;F&quot; STD EE ABS A.AC. MP3 B/A 4P"/>
    <s v="0080793912"/>
    <s v="LARRY CARLOS ESCALANTE SERRANO"/>
    <s v="Terminado"/>
    <s v="ACADIA DORADO"/>
    <s v="YUCATAN"/>
    <x v="0"/>
    <s v="14:50"/>
    <s v="GONZALO GUERRERO"/>
    <d v="2018-04-30T00:00:00"/>
    <x v="0"/>
    <n v="33"/>
    <s v="TERCERO"/>
    <x v="9"/>
    <x v="2"/>
    <x v="8"/>
    <m/>
    <x v="9"/>
    <s v="LARRY CARLOS ESCALANTE SERRANO"/>
  </r>
  <r>
    <s v="00000264965930"/>
    <s v="1"/>
    <s v="36868"/>
    <n v="0"/>
    <n v="647.46"/>
    <n v="0"/>
    <n v="0"/>
    <n v="0"/>
    <n v="0"/>
    <n v="0"/>
    <n v="0"/>
    <n v="0"/>
    <n v="0"/>
    <n v="0"/>
    <n v="0"/>
    <n v="0"/>
    <n v="0"/>
    <n v="0"/>
    <n v="0"/>
    <s v="20180301"/>
    <s v="G.N.P. ARRENDAMIENTO Y ADMINISTRACION DE FLOTILLAS"/>
    <s v="3G1TB5CF5HL107492"/>
    <n v="20171231"/>
    <n v="20181230"/>
    <m/>
    <s v="60250"/>
    <s v="Vigente"/>
    <s v="00000264753815"/>
    <s v="NUEVO LEON"/>
    <n v="2017"/>
    <s v="Privado"/>
    <s v="AVEO &quot;F&quot; STD EE ABS A.AC. MP3 B/A 4P"/>
    <s v="0080816085"/>
    <m/>
    <s v="Terminado"/>
    <s v="SI HAY 3RO AUTO NEGRO"/>
    <s v="PUEBLA"/>
    <x v="0"/>
    <s v="12:31"/>
    <s v="VALSEQUILLO"/>
    <d v="2018-05-01T00:00:00"/>
    <x v="0"/>
    <n v="33"/>
    <s v="TERCERO"/>
    <x v="9"/>
    <x v="2"/>
    <x v="8"/>
    <m/>
    <x v="9"/>
    <m/>
  </r>
  <r>
    <s v="00000264965930"/>
    <s v="1"/>
    <s v="36868"/>
    <n v="0"/>
    <n v="1274.04"/>
    <n v="0"/>
    <n v="0"/>
    <n v="1440"/>
    <n v="216"/>
    <n v="0"/>
    <n v="0"/>
    <n v="0"/>
    <n v="0"/>
    <n v="1656"/>
    <n v="1440"/>
    <n v="0"/>
    <n v="0"/>
    <n v="0"/>
    <n v="0"/>
    <s v="20180307"/>
    <s v="G.N.P. ARRENDAMIENTO Y ADMINISTRACION DE FLOTILLAS"/>
    <s v="3G1TB5CF5HL107492"/>
    <n v="20171231"/>
    <n v="20181230"/>
    <m/>
    <s v="60250"/>
    <s v="Vigente"/>
    <s v="00000264753815"/>
    <s v="NUEVO LEON"/>
    <n v="2017"/>
    <s v="Privado"/>
    <s v="AVEO &quot;F&quot; STD EE ABS A.AC. MP3 B/A 4P"/>
    <s v="0080978893"/>
    <m/>
    <s v="Reabierto"/>
    <s v="3ERO SI POINTIAC"/>
    <s v="NUEVO LEON"/>
    <x v="0"/>
    <s v="12:19"/>
    <s v="MARIANO ESCOBEDO"/>
    <d v="2018-05-07T00:00:00"/>
    <x v="0"/>
    <n v="33"/>
    <s v="ASEGURADO"/>
    <x v="10"/>
    <x v="2"/>
    <x v="8"/>
    <m/>
    <x v="9"/>
    <m/>
  </r>
  <r>
    <s v="00000264965955"/>
    <s v="1"/>
    <s v="36868"/>
    <n v="0"/>
    <n v="3780.35"/>
    <n v="7602.47"/>
    <n v="7602.47"/>
    <n v="48674.76"/>
    <n v="7301.21"/>
    <n v="0"/>
    <n v="0"/>
    <n v="0"/>
    <n v="0"/>
    <n v="55975.97"/>
    <n v="20806.73"/>
    <n v="3250"/>
    <n v="0"/>
    <n v="24618.03"/>
    <n v="0"/>
    <s v="20180213"/>
    <s v="G.N.P. ARRENDAMIENTO Y ADMINISTRACION DE FLOTILLAS"/>
    <s v="3G1TB5CF1HL122605"/>
    <n v="20171231"/>
    <n v="20181230"/>
    <m/>
    <s v="60250"/>
    <s v="Vigente"/>
    <s v="00000264753815"/>
    <s v="SINALOA"/>
    <n v="2017"/>
    <s v="Privado"/>
    <s v="AVEO &quot;F&quot; STD EE ABS A.AC. MP3 B/A 4P"/>
    <s v="0081041436"/>
    <m/>
    <s v="Terminado"/>
    <s v="3RO CAMIONETA FORD BLANCA"/>
    <s v="Sinaloa"/>
    <x v="0"/>
    <s v="22:00"/>
    <s v="ALVARO OBREGON"/>
    <d v="2018-05-08T00:00:00"/>
    <x v="0"/>
    <n v="33"/>
    <s v="TERCERO"/>
    <x v="10"/>
    <x v="2"/>
    <x v="8"/>
    <m/>
    <x v="9"/>
    <m/>
  </r>
  <r>
    <s v="00000264965955"/>
    <s v="1"/>
    <s v="36868"/>
    <n v="0"/>
    <n v="2548.08"/>
    <n v="0"/>
    <n v="0"/>
    <n v="124256.76"/>
    <n v="34272.870000000003"/>
    <n v="-47413.79"/>
    <n v="0"/>
    <n v="0"/>
    <n v="0"/>
    <n v="111115.84"/>
    <n v="121984.01"/>
    <n v="2272.75"/>
    <n v="0"/>
    <n v="0"/>
    <n v="0"/>
    <s v="20180321"/>
    <s v="G.N.P. ARRENDAMIENTO Y ADMINISTRACION DE FLOTILLAS"/>
    <s v="3G1TB5CF1HL122605"/>
    <n v="20171231"/>
    <n v="20181230"/>
    <m/>
    <s v="60250"/>
    <s v="Vigente"/>
    <s v="00000264753815"/>
    <s v="DISTRITO FEDERAL"/>
    <n v="2016"/>
    <s v="Privado"/>
    <s v="AVEO &quot;F&quot; STD EE ABS A.AC. MP3 B/A 4P"/>
    <s v="0081042376"/>
    <m/>
    <s v="Reabierto"/>
    <s v="CA.MBIO DE CRISTAL LATERAL TRASERO IZQUIERDO"/>
    <s v="Mexico"/>
    <x v="1"/>
    <s v="00:16"/>
    <s v="CIENTIFICOS"/>
    <d v="2018-05-09T00:00:00"/>
    <x v="0"/>
    <n v="33"/>
    <m/>
    <x v="10"/>
    <x v="2"/>
    <x v="8"/>
    <m/>
    <x v="9"/>
    <m/>
  </r>
  <r>
    <s v="00000264965989"/>
    <s v="1"/>
    <s v="36868"/>
    <n v="0"/>
    <n v="626.58000000000004"/>
    <n v="0"/>
    <n v="0"/>
    <n v="0"/>
    <n v="-2348.6999999999998"/>
    <n v="0"/>
    <n v="-15658"/>
    <n v="0"/>
    <n v="0"/>
    <n v="-18006.7"/>
    <n v="0"/>
    <n v="0"/>
    <n v="0"/>
    <n v="0"/>
    <n v="0"/>
    <s v="20180904"/>
    <s v="G.N.P. ARRENDAMIENTO Y ADMINISTRACION DE FLOTILLAS"/>
    <s v="3G1TB5CF7HL106568"/>
    <n v="20171231"/>
    <n v="20181230"/>
    <m/>
    <s v="60250"/>
    <s v="Vigente"/>
    <s v="00000264753815"/>
    <s v="DISTRITO FEDERAL"/>
    <n v="2017"/>
    <s v="Privado"/>
    <s v="AVEO &quot;F&quot; STD EE ABS A.AC. MP3 B/A 4P"/>
    <s v="0081043978"/>
    <m/>
    <s v="Terminado"/>
    <s v="3RO MAZDA ROJO"/>
    <s v="Distrito Federal"/>
    <x v="0"/>
    <s v="07:59"/>
    <s v="TURBA"/>
    <d v="2018-05-09T00:00:00"/>
    <x v="0"/>
    <n v="33"/>
    <s v="ASEGURADO"/>
    <x v="10"/>
    <x v="2"/>
    <x v="8"/>
    <m/>
    <x v="9"/>
    <m/>
  </r>
  <r>
    <s v="00000264965997"/>
    <s v="1"/>
    <s v="36868"/>
    <n v="0"/>
    <n v="2013.95"/>
    <n v="0"/>
    <n v="0"/>
    <n v="15658"/>
    <n v="2716.7"/>
    <n v="0"/>
    <n v="0"/>
    <n v="0"/>
    <n v="0"/>
    <n v="18374.7"/>
    <n v="0"/>
    <n v="0"/>
    <n v="0"/>
    <n v="15658"/>
    <n v="0"/>
    <s v="20180429"/>
    <s v="G.N.P. ARRENDAMIENTO Y ADMINISTRACION DE FLOTILLAS"/>
    <s v="3G1TB5CF4HL109346"/>
    <n v="20171231"/>
    <n v="20181230"/>
    <m/>
    <s v="60250"/>
    <s v="Vigente"/>
    <s v="00000264775123"/>
    <s v="DISTRITO FEDERAL"/>
    <n v="2013"/>
    <s v="Grua"/>
    <s v="ISUZU ELF 400 CHASIS CABINA K STD"/>
    <s v="0083422592"/>
    <m/>
    <s v="Terminado"/>
    <s v="KIA FORTE 06"/>
    <s v="Distrito Federal"/>
    <x v="0"/>
    <s v="13:47"/>
    <s v="CANAL DE GARAY 0"/>
    <d v="2018-05-10T00:00:00"/>
    <x v="0"/>
    <n v="33"/>
    <m/>
    <x v="10"/>
    <x v="2"/>
    <x v="8"/>
    <m/>
    <x v="9"/>
    <m/>
  </r>
  <r>
    <s v="00000264965997"/>
    <s v="1"/>
    <s v="36868"/>
    <n v="0"/>
    <n v="1299.32"/>
    <n v="0"/>
    <n v="0"/>
    <n v="8363.01"/>
    <n v="684.45"/>
    <n v="0"/>
    <n v="-3800"/>
    <n v="0"/>
    <n v="0"/>
    <n v="5247.46"/>
    <n v="8363.01"/>
    <n v="0"/>
    <n v="0"/>
    <n v="0"/>
    <n v="0"/>
    <s v="20181126"/>
    <s v="G.N.P. ARRENDAMIENTO Y ADMINISTRACION DE FLOTILLAS"/>
    <s v="3G1TB5CF4HL109346"/>
    <n v="20171231"/>
    <n v="20181230"/>
    <m/>
    <s v="60250"/>
    <s v="Vigente"/>
    <s v="00000264753815"/>
    <s v="SONORA"/>
    <n v="2016"/>
    <s v="Privado"/>
    <s v="AVEO &quot;F&quot; STD EE ABS A.AC. MP3 B/A 4P"/>
    <s v="0081248221"/>
    <m/>
    <s v="Terminado"/>
    <s v="HAY 3RO . AUTOBUS COLOR BLANCO CON AZUL"/>
    <s v="SONORA"/>
    <x v="0"/>
    <s v="21:02"/>
    <s v="VILLANUVA"/>
    <d v="2018-05-15T00:00:00"/>
    <x v="0"/>
    <n v="33"/>
    <m/>
    <x v="10"/>
    <x v="2"/>
    <x v="8"/>
    <m/>
    <x v="9"/>
    <m/>
  </r>
  <r>
    <s v="00000264966011"/>
    <s v="1"/>
    <s v="36868"/>
    <n v="0"/>
    <n v="901.61"/>
    <n v="5562.47"/>
    <n v="5562.47"/>
    <n v="15658"/>
    <n v="2348.6999999999998"/>
    <n v="0"/>
    <n v="0"/>
    <n v="0"/>
    <n v="0"/>
    <n v="18006.7"/>
    <n v="0"/>
    <n v="0"/>
    <n v="0"/>
    <n v="15658"/>
    <n v="0"/>
    <s v="20180227"/>
    <s v="G.N.P. ARRENDAMIENTO Y ADMINISTRACION DE FLOTILLAS"/>
    <s v="3G1TB5CF5HL108674"/>
    <n v="20171231"/>
    <n v="20181230"/>
    <m/>
    <s v="60250"/>
    <s v="Vigente"/>
    <s v="00000264753815"/>
    <s v="NUEVO LEON"/>
    <n v="2017"/>
    <s v="Privado"/>
    <s v="AVEO &quot;F&quot; STD EE ABS A.AC. MP3 B/A 4P"/>
    <s v="0081272221"/>
    <m/>
    <s v="Reabierto"/>
    <s v="NO 3ERO OBJETO EN LA PISTA"/>
    <s v="Mexico"/>
    <x v="0"/>
    <s v="15:01"/>
    <s v="EXSTERIOR MEXIQUENSE"/>
    <d v="2018-05-16T00:00:00"/>
    <x v="0"/>
    <n v="33"/>
    <s v="TERCERO"/>
    <x v="10"/>
    <x v="2"/>
    <x v="8"/>
    <m/>
    <x v="9"/>
    <m/>
  </r>
  <r>
    <s v="00000264966011"/>
    <s v="1"/>
    <s v="36868"/>
    <n v="0"/>
    <n v="1405.9"/>
    <n v="0"/>
    <n v="0"/>
    <n v="5928"/>
    <n v="-1459.5"/>
    <n v="0"/>
    <n v="-15658"/>
    <n v="0"/>
    <n v="0"/>
    <n v="-11189.5"/>
    <n v="5928"/>
    <n v="0"/>
    <n v="0"/>
    <n v="0"/>
    <n v="0"/>
    <s v="20180610"/>
    <s v="G.N.P. ARRENDAMIENTO Y ADMINISTRACION DE FLOTILLAS"/>
    <s v="3G1TB5CF5HL108674"/>
    <n v="20171231"/>
    <n v="20181230"/>
    <m/>
    <s v="60250"/>
    <s v="Vigente"/>
    <s v="00000264753815"/>
    <s v="QUERETARO"/>
    <n v="2017"/>
    <s v="Privado"/>
    <s v="AVEO &quot;F&quot; STD EE ABS A.AC. MP3 B/A 4P"/>
    <s v="0081281958"/>
    <m/>
    <s v="Reabierto"/>
    <s v="3RO SPARCK NEGRO"/>
    <s v="QUERETARO"/>
    <x v="0"/>
    <s v="18:02"/>
    <s v="CORREGIDORA NORTE"/>
    <d v="2018-05-16T00:00:00"/>
    <x v="0"/>
    <n v="33"/>
    <s v="TERCERO"/>
    <x v="10"/>
    <x v="2"/>
    <x v="8"/>
    <m/>
    <x v="9"/>
    <m/>
  </r>
  <r>
    <s v="00000264966037"/>
    <s v="1"/>
    <s v="36868"/>
    <n v="0"/>
    <n v="1250.24"/>
    <n v="0"/>
    <n v="0"/>
    <n v="1941.07"/>
    <n v="-2057.54"/>
    <n v="0"/>
    <n v="-15658"/>
    <n v="0"/>
    <n v="0"/>
    <n v="-15774.47"/>
    <n v="1941.07"/>
    <n v="0"/>
    <n v="0"/>
    <n v="0"/>
    <n v="0"/>
    <s v="20180321"/>
    <s v="G.N.P. ARRENDAMIENTO Y ADMINISTRACION DE FLOTILLAS"/>
    <s v="3G1TB5CF1HL153479"/>
    <n v="20171231"/>
    <n v="20181230"/>
    <m/>
    <s v="60250"/>
    <s v="Vigente"/>
    <s v="00000264753815"/>
    <s v="VERACRUZ"/>
    <n v="2017"/>
    <s v="Privado"/>
    <s v="AVEO &quot;F&quot; STD EE ABS A.AC. MP3 B/A 4P"/>
    <s v="0081312514"/>
    <m/>
    <s v="Terminado"/>
    <s v="3RO TAXI TSURU BLANCO"/>
    <s v="Veracruz"/>
    <x v="0"/>
    <s v="15:42"/>
    <s v="DIAZ MIRON"/>
    <d v="2018-05-17T00:00:00"/>
    <x v="0"/>
    <n v="33"/>
    <s v="TERCERO"/>
    <x v="10"/>
    <x v="2"/>
    <x v="8"/>
    <m/>
    <x v="9"/>
    <m/>
  </r>
  <r>
    <s v="00000264966037"/>
    <s v="1"/>
    <s v="36868"/>
    <n v="0"/>
    <n v="604.95000000000005"/>
    <n v="0"/>
    <n v="0"/>
    <n v="15658"/>
    <n v="2348.6999999999998"/>
    <n v="0"/>
    <n v="0"/>
    <n v="0"/>
    <n v="0"/>
    <n v="18006.7"/>
    <n v="0"/>
    <n v="0"/>
    <n v="0"/>
    <n v="15658"/>
    <n v="0"/>
    <s v="20180215"/>
    <s v="G.N.P. ARRENDAMIENTO Y ADMINISTRACION DE FLOTILLAS"/>
    <s v="3G1TB5CF1HL153479"/>
    <n v="20171231"/>
    <n v="20181230"/>
    <m/>
    <s v="60250"/>
    <s v="Vigente"/>
    <s v="00000264753815"/>
    <s v="HIDALGO"/>
    <n v="2016"/>
    <s v="Privado"/>
    <s v="AVEO &quot;F&quot; STD EE ABS A.AC. MP3 B/A 4P"/>
    <s v="0081357113"/>
    <s v="VICTOR PARDO MUNIZ"/>
    <s v="Terminado"/>
    <s v="SI HAY 3EOR MARCH COLOR"/>
    <s v="HIDALGO"/>
    <x v="0"/>
    <s v="19:35"/>
    <s v="SANTA CATARINA"/>
    <d v="2018-05-18T00:00:00"/>
    <x v="0"/>
    <n v="33"/>
    <s v="TERCERO"/>
    <x v="10"/>
    <x v="2"/>
    <x v="8"/>
    <m/>
    <x v="9"/>
    <s v="VICTOR PARDO MUNIZ"/>
  </r>
  <r>
    <s v="00000264966078"/>
    <s v="1"/>
    <s v="36868"/>
    <n v="0"/>
    <n v="855.74"/>
    <n v="0"/>
    <n v="0"/>
    <n v="9410.17"/>
    <n v="-988.47"/>
    <n v="0"/>
    <n v="-16000"/>
    <n v="0"/>
    <n v="0"/>
    <n v="-7578.3"/>
    <n v="9410.17"/>
    <n v="0"/>
    <n v="0"/>
    <n v="0"/>
    <n v="0"/>
    <s v="20180706"/>
    <s v="G.N.P. ARRENDAMIENTO Y ADMINISTRACION DE FLOTILLAS"/>
    <s v="3G1TB5CF6HL126262"/>
    <n v="20171231"/>
    <n v="20181230"/>
    <m/>
    <s v="60250"/>
    <s v="Vigente"/>
    <s v="00000264753815"/>
    <s v="YUCATAN"/>
    <n v="2017"/>
    <s v="Privado"/>
    <s v="AVEO &quot;F&quot; STD EE ABS A.AC. MP3 B/A 4P"/>
    <s v="0081480824"/>
    <s v="EDUARDO PEREZ MANZANERO"/>
    <s v="Terminado"/>
    <s v="SAVEIRO 05"/>
    <s v="YUCATAN"/>
    <x v="0"/>
    <s v="11:46"/>
    <s v="20B"/>
    <d v="2018-05-23T00:00:00"/>
    <x v="0"/>
    <n v="33"/>
    <s v="TERCERO"/>
    <x v="10"/>
    <x v="2"/>
    <x v="8"/>
    <m/>
    <x v="9"/>
    <s v="EDUARDO PEREZ MANZANERO"/>
  </r>
  <r>
    <s v="00000264966102"/>
    <s v="1"/>
    <s v="36868"/>
    <n v="0"/>
    <n v="1741.62"/>
    <n v="0"/>
    <n v="0"/>
    <n v="54118.78"/>
    <n v="8117.82"/>
    <n v="0"/>
    <n v="0"/>
    <n v="0"/>
    <n v="0"/>
    <n v="62236.6"/>
    <n v="54118.78"/>
    <n v="0"/>
    <n v="0"/>
    <n v="0"/>
    <n v="0"/>
    <s v="20180307"/>
    <s v="G.N.P. ARRENDAMIENTO Y ADMINISTRACION DE FLOTILLAS"/>
    <s v="3G1TB5CF7HL125699"/>
    <n v="20171231"/>
    <n v="20181230"/>
    <m/>
    <s v="60250"/>
    <s v="Vigente"/>
    <s v="00000264753815"/>
    <s v="DISTRITO FEDERAL"/>
    <n v="2018"/>
    <s v="Privado"/>
    <s v="AVEO LT SEDAN W STD"/>
    <s v="0082671835"/>
    <m/>
    <s v="Reabierto"/>
    <s v="TSURU 05"/>
    <s v="NUEVO LEON"/>
    <x v="0"/>
    <s v="10:48"/>
    <s v="PASEO DE LOS LEONES 0"/>
    <d v="2018-05-23T00:00:00"/>
    <x v="0"/>
    <n v="33"/>
    <m/>
    <x v="10"/>
    <x v="2"/>
    <x v="8"/>
    <m/>
    <x v="9"/>
    <m/>
  </r>
  <r>
    <s v="00000264966102"/>
    <s v="1"/>
    <s v="36868"/>
    <n v="0"/>
    <n v="863.73"/>
    <n v="0"/>
    <n v="0"/>
    <n v="0"/>
    <n v="1367.51"/>
    <n v="0"/>
    <n v="-15658"/>
    <n v="0"/>
    <n v="24774.73"/>
    <n v="10484.24"/>
    <n v="0"/>
    <n v="0"/>
    <n v="0"/>
    <n v="0"/>
    <n v="0"/>
    <s v="20181018"/>
    <s v="G.N.P. ARRENDAMIENTO Y ADMINISTRACION DE FLOTILLAS"/>
    <s v="3G1TB5CF7HL125699"/>
    <n v="20171231"/>
    <n v="20181230"/>
    <m/>
    <s v="60250"/>
    <s v="Vigente"/>
    <s v="00000264756040"/>
    <s v="DISTRITO FEDERAL"/>
    <n v="2016"/>
    <s v="Privado"/>
    <s v="HONDA"/>
    <s v="0081569279"/>
    <s v="DELWIN MORENO GARCIA"/>
    <s v="Reabierto"/>
    <s v="3ERO URBAN DE PASAJEROS"/>
    <s v="Mexico"/>
    <x v="0"/>
    <s v="17:31"/>
    <s v="PRIMERO DE MAYO"/>
    <d v="2018-05-25T00:00:00"/>
    <x v="0"/>
    <n v="33"/>
    <s v="ASEGURADO"/>
    <x v="10"/>
    <x v="2"/>
    <x v="8"/>
    <m/>
    <x v="9"/>
    <s v="DELWIN MORENO GARCIA"/>
  </r>
  <r>
    <s v="00000264966110"/>
    <s v="1"/>
    <s v="36868"/>
    <n v="0"/>
    <n v="424.78"/>
    <n v="0"/>
    <n v="0"/>
    <n v="0"/>
    <n v="-1788.45"/>
    <n v="0"/>
    <n v="-15658"/>
    <n v="0"/>
    <n v="3735"/>
    <n v="-13711.45"/>
    <n v="0"/>
    <n v="0"/>
    <n v="0"/>
    <n v="0"/>
    <n v="0"/>
    <s v="20181108"/>
    <s v="G.N.P. ARRENDAMIENTO Y ADMINISTRACION DE FLOTILLAS"/>
    <s v="3G1TB5CF9HL125977"/>
    <n v="20171231"/>
    <n v="20181230"/>
    <m/>
    <s v="60250"/>
    <s v="Vigente"/>
    <s v="00000264775123"/>
    <s v="DISTRITO FEDERAL"/>
    <n v="2013"/>
    <s v="Grua"/>
    <s v="ISUZU ELF 400 CHASIS CABINA K STD"/>
    <s v="0082479015"/>
    <m/>
    <s v="Reabierto"/>
    <s v="POL 264968454 VALMEX SOLUCIONE..  PEGAMOS CON 3ERO"/>
    <s v="Distrito Federal"/>
    <x v="0"/>
    <s v="01:50"/>
    <s v="BATALLA DE PUEBLA MNZ 13 LT 262 0"/>
    <d v="2018-05-26T00:00:00"/>
    <x v="0"/>
    <n v="33"/>
    <m/>
    <x v="10"/>
    <x v="2"/>
    <x v="8"/>
    <m/>
    <x v="9"/>
    <m/>
  </r>
  <r>
    <s v="00000264966110"/>
    <s v="1"/>
    <s v="36868"/>
    <n v="0"/>
    <n v="424.78"/>
    <n v="0"/>
    <n v="0"/>
    <n v="2500"/>
    <n v="3375"/>
    <n v="0"/>
    <n v="0"/>
    <n v="0"/>
    <n v="20000"/>
    <n v="25875"/>
    <n v="0"/>
    <n v="0"/>
    <n v="0"/>
    <n v="2500"/>
    <n v="0"/>
    <s v="20181215"/>
    <s v="G.N.P. ARRENDAMIENTO Y ADMINISTRACION DE FLOTILLAS"/>
    <s v="3G1TB5CF9HL125977"/>
    <n v="20171231"/>
    <n v="20181230"/>
    <m/>
    <s v="60250"/>
    <s v="Vigente"/>
    <s v="00000264753815"/>
    <s v="ESTADO DE MEXICO"/>
    <n v="2017"/>
    <s v="Privado"/>
    <s v="AVEO &quot;F&quot; STD EE ABS A.AC. MP3 B/A 4P"/>
    <s v="0081604985"/>
    <s v="RICARDO DURAN RAMIREZ"/>
    <s v="Terminado"/>
    <s v="3RO SPARK CAFE"/>
    <s v="Mexico"/>
    <x v="0"/>
    <s v="13:25"/>
    <s v="16 DE SEPTIEMBRE 201"/>
    <d v="2018-05-27T00:00:00"/>
    <x v="0"/>
    <n v="33"/>
    <s v="TERCERO"/>
    <x v="10"/>
    <x v="2"/>
    <x v="8"/>
    <m/>
    <x v="9"/>
    <s v="RICARDO DURAN RAMIREZ"/>
  </r>
  <r>
    <s v="00000264966136"/>
    <s v="1"/>
    <s v="36868"/>
    <n v="0"/>
    <n v="863.73"/>
    <n v="0"/>
    <n v="0"/>
    <n v="6031.31"/>
    <n v="904.7"/>
    <n v="0"/>
    <n v="0"/>
    <n v="0"/>
    <n v="0"/>
    <n v="6936.01"/>
    <n v="0"/>
    <n v="0"/>
    <n v="0"/>
    <n v="6031.31"/>
    <n v="0"/>
    <s v="20180905"/>
    <s v="G.N.P. ARRENDAMIENTO Y ADMINISTRACION DE FLOTILLAS"/>
    <s v="3G1TB5CF7HL125928"/>
    <n v="20171231"/>
    <n v="20181230"/>
    <m/>
    <s v="60250"/>
    <s v="Vigente"/>
    <s v="00000264756040"/>
    <s v="DISTRITO FEDERAL"/>
    <n v="2018"/>
    <s v="Privado"/>
    <s v="HONDA"/>
    <s v="0081626095"/>
    <s v="DANIEL BRAYAN ALBITOS AVILA"/>
    <s v="Pendiente"/>
    <s v="AVEO BCO Y NA ESTA EN EL HOSP CONCHITA  NO CUENTA CON UN FAMILIAR Y EL SUPERVISOR EDGAR HINOJOSA ESTA LEVANTANDO EL SINIESTRO Y EL AJ 1219 RODOLF"/>
    <s v="NUEVO LEON"/>
    <x v="0"/>
    <s v="12:45"/>
    <s v="MADERO"/>
    <d v="2018-05-28T00:00:00"/>
    <x v="0"/>
    <n v="33"/>
    <s v="TERCERO"/>
    <x v="10"/>
    <x v="2"/>
    <x v="8"/>
    <m/>
    <x v="9"/>
    <s v="DANIEL BRAYAN ALBITOS AVILA"/>
  </r>
  <r>
    <s v="00000264966136"/>
    <s v="1"/>
    <s v="36868"/>
    <n v="0"/>
    <n v="424.78"/>
    <n v="0"/>
    <n v="0"/>
    <n v="15658"/>
    <n v="5143.05"/>
    <n v="0"/>
    <n v="0"/>
    <n v="0"/>
    <n v="18629"/>
    <n v="39430.050000000003"/>
    <n v="0"/>
    <n v="0"/>
    <n v="0"/>
    <n v="15658"/>
    <n v="0"/>
    <s v="20181113"/>
    <s v="G.N.P. ARRENDAMIENTO Y ADMINISTRACION DE FLOTILLAS"/>
    <s v="3G1TB5CF7HL125928"/>
    <n v="20171231"/>
    <n v="20181230"/>
    <m/>
    <s v="60250"/>
    <s v="Vigente"/>
    <s v="00000264756040"/>
    <s v="DISTRITO FEDERAL"/>
    <n v="2018"/>
    <s v="Privado"/>
    <s v="HONDA"/>
    <s v="0081656688"/>
    <s v="CARLOS CRUZ LEGORRETA"/>
    <s v="Reabierto"/>
    <s v="AJUSTDRO DE GNP"/>
    <s v="Distrito Federal"/>
    <x v="0"/>
    <s v="09:00"/>
    <s v="INSURGENTES NORTE 0"/>
    <d v="2018-05-29T00:00:00"/>
    <x v="0"/>
    <n v="33"/>
    <s v="TERCERO"/>
    <x v="10"/>
    <x v="2"/>
    <x v="8"/>
    <m/>
    <x v="9"/>
    <s v="CARLOS CRUZ LEGORRETA"/>
  </r>
  <r>
    <s v="00000264966169"/>
    <s v="1"/>
    <s v="36868"/>
    <n v="0"/>
    <n v="2713.61"/>
    <n v="0"/>
    <n v="0"/>
    <n v="0"/>
    <n v="335.25"/>
    <n v="0"/>
    <n v="-1500"/>
    <n v="0"/>
    <n v="3735"/>
    <n v="2570.25"/>
    <n v="0"/>
    <n v="0"/>
    <n v="0"/>
    <n v="0"/>
    <n v="0"/>
    <s v="20180320"/>
    <s v="G.N.P. ARRENDAMIENTO Y ADMINISTRACION DE FLOTILLAS"/>
    <s v="3G1TB5CF9HL152385"/>
    <n v="20171231"/>
    <n v="20181230"/>
    <m/>
    <s v="60250"/>
    <s v="Vigente"/>
    <s v="00000264753815"/>
    <s v="YUCATAN"/>
    <n v="2017"/>
    <s v="Privado"/>
    <s v="AVEO &quot;F&quot; STD EE ABS A.AC. MP3 B/A 4P"/>
    <s v="0081715831"/>
    <s v="EDGAR FRANCISCO RUBIO HAM"/>
    <s v="Terminado"/>
    <s v="3RO FRIGLINER BLANCO"/>
    <s v="YUCATAN"/>
    <x v="0"/>
    <s v="15:43"/>
    <s v="7"/>
    <d v="2018-05-30T00:00:00"/>
    <x v="0"/>
    <n v="33"/>
    <s v="TERCERO"/>
    <x v="10"/>
    <x v="2"/>
    <x v="8"/>
    <m/>
    <x v="9"/>
    <s v="EDGAR FRANCISCO RUBIO HAM"/>
  </r>
  <r>
    <s v="00000264966169"/>
    <s v="1"/>
    <s v="36868"/>
    <n v="0"/>
    <n v="1356.8"/>
    <n v="0"/>
    <n v="0"/>
    <n v="0"/>
    <n v="450"/>
    <n v="0"/>
    <n v="0"/>
    <n v="0"/>
    <n v="3000"/>
    <n v="3450"/>
    <n v="0"/>
    <n v="0"/>
    <n v="0"/>
    <n v="0"/>
    <n v="0"/>
    <s v="20180430"/>
    <s v="G.N.P. ARRENDAMIENTO Y ADMINISTRACION DE FLOTILLAS"/>
    <s v="3G1TB5CF9HL152385"/>
    <n v="20171231"/>
    <n v="20181230"/>
    <m/>
    <s v="60250"/>
    <s v="Vigente"/>
    <s v="00000264753815"/>
    <s v="COAHUILA"/>
    <n v="2017"/>
    <s v="Privado"/>
    <s v="AVEO &quot;F&quot; STD EE ABS A.AC. MP3 B/A 4P"/>
    <s v="0081702300"/>
    <m/>
    <s v="Terminado"/>
    <s v="NA INDICA PERCANSE CON CAMELLON"/>
    <s v="Coahuila"/>
    <x v="0"/>
    <s v="11:33"/>
    <s v="SD"/>
    <d v="2018-05-30T00:00:00"/>
    <x v="0"/>
    <n v="33"/>
    <m/>
    <x v="10"/>
    <x v="2"/>
    <x v="8"/>
    <m/>
    <x v="9"/>
    <m/>
  </r>
  <r>
    <s v="00000264966235"/>
    <s v="1"/>
    <s v="36868"/>
    <n v="0"/>
    <n v="827.18"/>
    <n v="0"/>
    <n v="0"/>
    <n v="0"/>
    <n v="-1788.45"/>
    <n v="0"/>
    <n v="-15658"/>
    <n v="0"/>
    <n v="3735"/>
    <n v="-13711.45"/>
    <n v="0"/>
    <n v="0"/>
    <n v="0"/>
    <n v="0"/>
    <n v="0"/>
    <s v="20181031"/>
    <s v="G.N.P. ARRENDAMIENTO Y ADMINISTRACION DE FLOTILLAS"/>
    <s v="3G1TB5CF3HL127272"/>
    <n v="20171231"/>
    <n v="20181230"/>
    <m/>
    <s v="60250"/>
    <s v="Vigente"/>
    <s v="00000264753815"/>
    <s v="DISTRITO FEDERAL"/>
    <n v="2017"/>
    <s v="Privado"/>
    <s v="AVEO &quot;F&quot; STD EE ABS A.AC. MP3 B/A 4P"/>
    <s v="0081708497"/>
    <s v="RODRIGO PEREZ OSOYO"/>
    <s v="Reabierto"/>
    <s v="3RO VENTO ARENA"/>
    <s v="Distrito Federal"/>
    <x v="0"/>
    <s v="13:35"/>
    <s v="AV RIO CHURUBUSCO CARRIL LATERAL"/>
    <d v="2018-05-30T00:00:00"/>
    <x v="0"/>
    <n v="33"/>
    <s v="ASEGURADO"/>
    <x v="10"/>
    <x v="2"/>
    <x v="8"/>
    <m/>
    <x v="9"/>
    <s v="RODRIGO PEREZ OSOYO"/>
  </r>
  <r>
    <s v="00000264966292"/>
    <s v="1"/>
    <s v="36868"/>
    <n v="0"/>
    <n v="1444.36"/>
    <n v="0"/>
    <n v="0"/>
    <n v="15122.14"/>
    <n v="-80.38"/>
    <n v="0"/>
    <n v="-15658"/>
    <n v="0"/>
    <n v="0"/>
    <n v="-616.24"/>
    <n v="15122.14"/>
    <n v="0"/>
    <n v="0"/>
    <n v="0"/>
    <n v="0"/>
    <s v="20180804"/>
    <s v="G.N.P. ARRENDAMIENTO Y ADMINISTRACION DE FLOTILLAS"/>
    <s v="3G1TB5CF1HL126556"/>
    <n v="20171231"/>
    <n v="20181230"/>
    <m/>
    <s v="60250"/>
    <s v="Cancelada"/>
    <s v="00000264753815"/>
    <s v="TABASCO"/>
    <n v="2014"/>
    <s v="Privado"/>
    <s v="AVEO B STD"/>
    <s v="0081774929"/>
    <s v="ROSA PATRICIA GIL MADRIGAL"/>
    <s v="Reabierto"/>
    <s v="3EERO VW JETTA AZUL"/>
    <s v="TABASCO"/>
    <x v="0"/>
    <s v="09:35"/>
    <s v="PASEO TABASCO 1120"/>
    <d v="2018-06-01T00:00:00"/>
    <x v="0"/>
    <n v="33"/>
    <s v="TERCERO"/>
    <x v="10"/>
    <x v="2"/>
    <x v="8"/>
    <m/>
    <x v="9"/>
    <s v="ROSA PATRICIA GIL MADRIGAL"/>
  </r>
  <r>
    <s v="00000264966292"/>
    <s v="1"/>
    <s v="36868"/>
    <n v="0"/>
    <n v="698.89"/>
    <n v="0"/>
    <n v="0"/>
    <n v="0"/>
    <n v="-1788.45"/>
    <n v="0"/>
    <n v="-15658"/>
    <n v="0"/>
    <n v="3735"/>
    <n v="-13711.45"/>
    <n v="0"/>
    <n v="0"/>
    <n v="0"/>
    <n v="0"/>
    <n v="0"/>
    <s v="20181231"/>
    <s v="G.N.P. ARRENDAMIENTO Y ADMINISTRACION DE FLOTILLAS"/>
    <s v="3G1TB5CF1HL126556"/>
    <n v="20171231"/>
    <n v="20181230"/>
    <m/>
    <s v="60250"/>
    <s v="Vigente"/>
    <s v="00000264753815"/>
    <s v="DISTRITO FEDERAL"/>
    <n v="2014"/>
    <s v="Privado"/>
    <s v="AVEO B STD"/>
    <s v="0082512955"/>
    <s v="ESTACIONADO ESTACIONADO ESTACIONADO"/>
    <s v="Terminado"/>
    <s v="DA.OS EN TODOS LOS CRISTALES Y CARROCERIA"/>
    <s v="NUEVO LEON"/>
    <x v="5"/>
    <s v="01:39"/>
    <s v="ESCOBEDO 235"/>
    <d v="2018-06-25T00:00:00"/>
    <x v="0"/>
    <n v="33"/>
    <m/>
    <x v="11"/>
    <x v="2"/>
    <x v="8"/>
    <m/>
    <x v="9"/>
    <s v="ESTACIONADO ESTACIONADO ESTACIONADO"/>
  </r>
  <r>
    <s v="00000264966300"/>
    <s v="1"/>
    <s v="36868"/>
    <n v="0"/>
    <n v="1260.2"/>
    <n v="5154.01"/>
    <n v="5154.01"/>
    <n v="35475.22"/>
    <n v="5321.28"/>
    <n v="0"/>
    <n v="0"/>
    <n v="0"/>
    <n v="0"/>
    <n v="40796.5"/>
    <n v="35475.22"/>
    <n v="0"/>
    <n v="0"/>
    <n v="0"/>
    <n v="0"/>
    <s v="20180103"/>
    <s v="G.N.P. ARRENDAMIENTO Y ADMINISTRACION DE FLOTILLAS"/>
    <s v="3G1TB5CF9HL127308"/>
    <n v="20171231"/>
    <n v="20181230"/>
    <m/>
    <s v="60250"/>
    <s v="Vigente"/>
    <s v="00000264753815"/>
    <s v="JALISCO"/>
    <n v="2017"/>
    <s v="Privado"/>
    <s v="AVEO &quot;F&quot; STD EE ABS A.AC. MP3 B/A 4P"/>
    <s v="0081797896"/>
    <s v="CARLOS MANUEL MAEDA CERVANTES"/>
    <s v="Reabierto"/>
    <s v="3RO SI EN EL LUGAR"/>
    <s v="JALISCO"/>
    <x v="0"/>
    <s v="17:12"/>
    <s v="PERIFERICO NORTE"/>
    <d v="2018-06-01T00:00:00"/>
    <x v="0"/>
    <n v="33"/>
    <s v="TERCERO"/>
    <x v="11"/>
    <x v="2"/>
    <x v="8"/>
    <m/>
    <x v="9"/>
    <s v="CARLOS MANUEL MAEDA CERVANTES"/>
  </r>
  <r>
    <s v="00000264966342"/>
    <s v="1"/>
    <s v="36868"/>
    <n v="0"/>
    <n v="414.07"/>
    <n v="0"/>
    <n v="0"/>
    <n v="0"/>
    <n v="0"/>
    <n v="0"/>
    <n v="0"/>
    <n v="0"/>
    <n v="0"/>
    <n v="0"/>
    <n v="0"/>
    <n v="0"/>
    <n v="0"/>
    <n v="0"/>
    <n v="0"/>
    <s v="20180910"/>
    <s v="G.N.P. ARRENDAMIENTO Y ADMINISTRACION DE FLOTILLAS"/>
    <s v="3G1TB5CF8HL165919"/>
    <n v="20171231"/>
    <n v="20181230"/>
    <m/>
    <s v="60250"/>
    <s v="Vigente"/>
    <s v="00000264753815"/>
    <s v="NAYARIT"/>
    <n v="2017"/>
    <s v="Privado"/>
    <s v="AVEO &quot;F&quot; STD EE ABS A.AC. MP3 B/A 4P"/>
    <s v="0081818809"/>
    <s v="RAMON VERDIN DELGADILLO ESTACIONADO ESTACIONADO"/>
    <s v="Terminado"/>
    <s v="LATERAL DERECHO TRASERO VH DE GNP"/>
    <s v="NAYARIT"/>
    <x v="0"/>
    <s v="13:11"/>
    <s v="MARCOS PARTIDA  118"/>
    <d v="2018-06-02T00:00:00"/>
    <x v="0"/>
    <n v="33"/>
    <s v="ASEGURADO"/>
    <x v="11"/>
    <x v="2"/>
    <x v="8"/>
    <m/>
    <x v="9"/>
    <s v="RAMON VERDIN DELGADILLO ESTACIONADO ESTACIONADO"/>
  </r>
  <r>
    <s v="00000264966409"/>
    <s v="1"/>
    <s v="36868"/>
    <n v="0"/>
    <n v="1250.24"/>
    <n v="0"/>
    <n v="0"/>
    <n v="16999.55"/>
    <n v="2549.9299999999998"/>
    <n v="0"/>
    <n v="0"/>
    <n v="0"/>
    <n v="0"/>
    <n v="19549.48"/>
    <n v="16999.55"/>
    <n v="0"/>
    <n v="0"/>
    <n v="0"/>
    <n v="0"/>
    <s v="20180307"/>
    <s v="G.N.P. ARRENDAMIENTO Y ADMINISTRACION DE FLOTILLAS"/>
    <s v="3G1TB5CF8HL126277"/>
    <n v="20171231"/>
    <n v="20181230"/>
    <m/>
    <s v="60250"/>
    <s v="Vigente"/>
    <s v="00000264753815"/>
    <s v="DISTRITO FEDERAL"/>
    <n v="2016"/>
    <s v="Privado"/>
    <s v="AVEO &quot;F&quot; STD EE ABS A.AC. MP3 B/A 4P"/>
    <s v="0081847287"/>
    <s v="MARCO ANTONIO FLORES BAEZ"/>
    <s v="Terminado"/>
    <s v="3RO   CAMIONETA JEEP PATRIOT GRIS"/>
    <s v="Distrito Federal"/>
    <x v="0"/>
    <s v="11:03"/>
    <s v="CERRO DE LAS TORRES"/>
    <d v="2018-06-04T00:00:00"/>
    <x v="0"/>
    <n v="33"/>
    <s v="TERCERO"/>
    <x v="11"/>
    <x v="2"/>
    <x v="8"/>
    <m/>
    <x v="9"/>
    <s v="MARCO ANTONIO FLORES BAEZ"/>
  </r>
  <r>
    <s v="00000264966409"/>
    <s v="1"/>
    <s v="36868"/>
    <n v="0"/>
    <n v="1230.07"/>
    <n v="0"/>
    <n v="0"/>
    <n v="2319.08"/>
    <n v="347.86"/>
    <n v="0"/>
    <n v="0"/>
    <n v="0"/>
    <n v="0"/>
    <n v="2666.94"/>
    <n v="2319.08"/>
    <n v="0"/>
    <n v="0"/>
    <n v="0"/>
    <n v="0"/>
    <s v="20180517"/>
    <s v="G.N.P. ARRENDAMIENTO Y ADMINISTRACION DE FLOTILLAS"/>
    <s v="3G1TB5CF8HL126277"/>
    <n v="20171231"/>
    <n v="20181230"/>
    <m/>
    <s v="60250"/>
    <s v="Vigente"/>
    <s v="00000264753815"/>
    <s v="SINALOA"/>
    <n v="2016"/>
    <s v="Privado"/>
    <s v="AVEO &quot;F&quot; STD EE ABS A.AC. MP3 B/A 4P"/>
    <s v="0081947657"/>
    <s v="GUSTAVO ARNOLDO IZABAL LOPEZ"/>
    <s v="Pendiente"/>
    <s v="3RO CUATRI MOTO ROJO CON NEGRO"/>
    <s v="Sinaloa"/>
    <x v="0"/>
    <s v="16:44"/>
    <s v="MARTINIANA ROMERO 2139"/>
    <d v="2018-06-06T00:00:00"/>
    <x v="0"/>
    <n v="33"/>
    <s v="TERCERO"/>
    <x v="11"/>
    <x v="2"/>
    <x v="8"/>
    <m/>
    <x v="9"/>
    <s v="GUSTAVO ARNOLDO IZABAL LOPEZ"/>
  </r>
  <r>
    <s v="00000264966433"/>
    <s v="1"/>
    <s v="36868"/>
    <n v="0"/>
    <n v="1288.51"/>
    <n v="0"/>
    <n v="0"/>
    <n v="34460.559999999998"/>
    <n v="5169.08"/>
    <n v="0"/>
    <n v="0"/>
    <n v="0"/>
    <n v="0"/>
    <n v="39629.64"/>
    <n v="34460.559999999998"/>
    <n v="0"/>
    <n v="0"/>
    <n v="0"/>
    <n v="0"/>
    <s v="20180709"/>
    <s v="G.N.P. ARRENDAMIENTO Y ADMINISTRACION DE FLOTILLAS"/>
    <s v="3G1TB5CF9HL150247"/>
    <n v="20171231"/>
    <n v="20181230"/>
    <m/>
    <s v="60250"/>
    <s v="Vigente"/>
    <s v="00000264753815"/>
    <s v="DISTRITO FEDERAL"/>
    <n v="2017"/>
    <s v="Privado"/>
    <s v="AVEO &quot;F&quot; STD EE ABS A.AC. MP3 B/A 4P"/>
    <s v="0081939845"/>
    <s v="MA TERESA CISNEROS RAMIREZ"/>
    <s v="Reabierto"/>
    <s v="3RO TOYOTA RAV GRIS"/>
    <s v="Distrito Federal"/>
    <x v="0"/>
    <s v="14:21"/>
    <s v="DEL CONSCRIPTO"/>
    <d v="2018-06-06T00:00:00"/>
    <x v="0"/>
    <n v="33"/>
    <m/>
    <x v="11"/>
    <x v="2"/>
    <x v="8"/>
    <m/>
    <x v="9"/>
    <s v="MA TERESA CISNEROS RAMIREZ"/>
  </r>
  <r>
    <s v="00000264966458"/>
    <s v="1"/>
    <s v="36868"/>
    <n v="0"/>
    <n v="1369.52"/>
    <n v="8449.17"/>
    <n v="8449.17"/>
    <n v="0"/>
    <n v="0"/>
    <n v="0"/>
    <n v="0"/>
    <n v="0"/>
    <n v="0"/>
    <n v="0"/>
    <n v="0"/>
    <n v="0"/>
    <n v="0"/>
    <n v="0"/>
    <n v="0"/>
    <s v="20180112"/>
    <s v="G.N.P. ARRENDAMIENTO Y ADMINISTRACION DE FLOTILLAS"/>
    <s v="3G1TB5CF7HL166818"/>
    <n v="20171231"/>
    <n v="20181230"/>
    <m/>
    <s v="60250"/>
    <s v="Vigente"/>
    <s v="00000264755588"/>
    <s v="YUCATAN"/>
    <n v="2016"/>
    <s v="Privado"/>
    <s v="CHEVROLET EXPRESS CARGO VAN &quot;B&quot;"/>
    <s v="0081997421"/>
    <m/>
    <s v="Terminado"/>
    <s v="RELACION CON SINIESTRO 0080288103 A PETICION DE Miguel Francisco Rodriguez Cervera"/>
    <s v="YUCATAN"/>
    <x v="3"/>
    <s v="21:22"/>
    <s v="RELACION CON SINIESTRO"/>
    <d v="2018-06-07T00:00:00"/>
    <x v="0"/>
    <n v="33"/>
    <m/>
    <x v="11"/>
    <x v="2"/>
    <x v="8"/>
    <m/>
    <x v="9"/>
    <m/>
  </r>
  <r>
    <s v="00000264966482"/>
    <s v="1"/>
    <s v="36868"/>
    <n v="0"/>
    <n v="1271.73"/>
    <n v="0"/>
    <n v="0"/>
    <n v="4194.68"/>
    <n v="1112.2"/>
    <n v="0"/>
    <n v="0"/>
    <n v="0"/>
    <n v="0"/>
    <n v="5306.88"/>
    <n v="4194.68"/>
    <n v="0"/>
    <n v="0"/>
    <n v="0"/>
    <n v="0"/>
    <s v="20180626"/>
    <s v="G.N.P. ARRENDAMIENTO Y ADMINISTRACION DE FLOTILLAS"/>
    <s v="3G1TB5CF8HL149672"/>
    <n v="20171231"/>
    <n v="20181230"/>
    <m/>
    <s v="60250"/>
    <s v="Vigente"/>
    <s v="00000264753815"/>
    <s v="DISTRITO FEDERAL"/>
    <n v="2018"/>
    <s v="Privado"/>
    <s v="AVEO LT SEDAN W STD"/>
    <s v="0082020116"/>
    <s v="JOSE LUIS SALINAS URGANO"/>
    <s v="Reabierto"/>
    <s v="3RO EN EL LUGRA MOTO NEGRA HONDA"/>
    <s v="Distrito Federal"/>
    <x v="0"/>
    <s v="15:09"/>
    <s v="DE LAS TORRES"/>
    <d v="2018-06-08T00:00:00"/>
    <x v="0"/>
    <n v="33"/>
    <s v="TERCERO"/>
    <x v="11"/>
    <x v="2"/>
    <x v="8"/>
    <m/>
    <x v="9"/>
    <s v="JOSE LUIS SALINAS URGANO"/>
  </r>
  <r>
    <s v="00000264966524"/>
    <s v="1"/>
    <s v="36868"/>
    <n v="0"/>
    <n v="1302.67"/>
    <n v="0"/>
    <n v="0"/>
    <n v="50279.14"/>
    <n v="13493.95"/>
    <n v="0"/>
    <n v="-6319.45"/>
    <n v="0"/>
    <n v="0"/>
    <n v="57453.64"/>
    <n v="41289.46"/>
    <n v="0"/>
    <n v="0"/>
    <n v="8989.68"/>
    <n v="0"/>
    <s v="20180819"/>
    <s v="G.N.P. ARRENDAMIENTO Y ADMINISTRACION DE FLOTILLAS"/>
    <s v="3G1TB5CF8HL151647"/>
    <n v="20171231"/>
    <n v="20181230"/>
    <m/>
    <s v="60250"/>
    <s v="Vigente"/>
    <s v="00000264753815"/>
    <s v="DISTRITO FEDERAL"/>
    <n v="2018"/>
    <s v="Privado"/>
    <s v="AVEO LT SEDAN W STD"/>
    <s v="0082042805"/>
    <s v="RAFAEL PALACIOS CABRERA"/>
    <s v="Pendiente"/>
    <s v="2VH MAS SPARK 05"/>
    <s v="Distrito Federal"/>
    <x v="0"/>
    <s v="10:33"/>
    <s v="RIO CONSULADO"/>
    <d v="2018-06-09T00:00:00"/>
    <x v="0"/>
    <n v="33"/>
    <s v="TERCERO"/>
    <x v="11"/>
    <x v="2"/>
    <x v="8"/>
    <m/>
    <x v="9"/>
    <s v="RAFAEL PALACIOS CABRERA"/>
  </r>
  <r>
    <s v="00000264966565"/>
    <s v="1"/>
    <s v="36868"/>
    <n v="0"/>
    <n v="1415.94"/>
    <n v="0"/>
    <n v="0"/>
    <n v="1974.77"/>
    <n v="296.22000000000003"/>
    <n v="0"/>
    <n v="0"/>
    <n v="0"/>
    <n v="0"/>
    <n v="2270.9899999999998"/>
    <n v="0"/>
    <n v="0"/>
    <n v="0"/>
    <n v="1974.77"/>
    <n v="0"/>
    <s v="20180527"/>
    <s v="G.N.P. ARRENDAMIENTO Y ADMINISTRACION DE FLOTILLAS"/>
    <s v="3G1TB5CF8HL163507"/>
    <n v="20171231"/>
    <n v="20181230"/>
    <m/>
    <s v="60250"/>
    <s v="Vigente"/>
    <s v="00000264753815"/>
    <s v="PUEBLA"/>
    <n v="2017"/>
    <s v="Privado"/>
    <s v="AVEO &quot;F&quot; STD EE ABS A.AC. MP3 B/A 4P"/>
    <s v="0082060575"/>
    <s v="VALENTIN ARTURO RODRIGUEZ HERRERA"/>
    <s v="Reabierto"/>
    <s v="3RO VENTO CAFE"/>
    <s v="PUEBLA"/>
    <x v="0"/>
    <s v="12:44"/>
    <s v="PASEO OPERA"/>
    <d v="2018-06-10T00:00:00"/>
    <x v="0"/>
    <n v="33"/>
    <s v="TERCERO"/>
    <x v="11"/>
    <x v="2"/>
    <x v="8"/>
    <m/>
    <x v="9"/>
    <s v="VALENTIN ARTURO RODRIGUEZ HERRERA"/>
  </r>
  <r>
    <s v="00000264966565"/>
    <s v="1"/>
    <s v="36868"/>
    <n v="0"/>
    <n v="2112.31"/>
    <n v="0"/>
    <n v="0"/>
    <n v="8990.76"/>
    <n v="1348.61"/>
    <n v="0"/>
    <n v="0"/>
    <n v="0"/>
    <n v="0"/>
    <n v="10339.370000000001"/>
    <n v="0"/>
    <n v="0"/>
    <n v="0"/>
    <n v="8990.76"/>
    <n v="0"/>
    <s v="20180630"/>
    <s v="G.N.P. ARRENDAMIENTO Y ADMINISTRACION DE FLOTILLAS"/>
    <s v="3G1TB5CF8HL163507"/>
    <n v="20171231"/>
    <n v="20181230"/>
    <m/>
    <s v="60250"/>
    <s v="Vigente"/>
    <s v="00000264753815"/>
    <s v="DISTRITO FEDERAL"/>
    <n v="2018"/>
    <s v="Privado"/>
    <s v="AVEO LT SEDAN W STD"/>
    <s v="0082086430"/>
    <s v="JUAN CARLOS ORTIZ NAVA"/>
    <s v="Terminado"/>
    <s v="3RO RENLOT CLIO DORADO"/>
    <s v="MORELOS"/>
    <x v="0"/>
    <s v="14:32"/>
    <s v="PAR VIAL"/>
    <d v="2018-06-11T00:00:00"/>
    <x v="0"/>
    <n v="33"/>
    <s v="TERCERO"/>
    <x v="11"/>
    <x v="2"/>
    <x v="8"/>
    <m/>
    <x v="9"/>
    <s v="JUAN CARLOS ORTIZ NAVA"/>
  </r>
  <r>
    <s v="00000264966607"/>
    <s v="1"/>
    <s v="36868"/>
    <n v="0"/>
    <n v="401.01"/>
    <n v="0"/>
    <n v="0"/>
    <n v="0"/>
    <n v="1056.43"/>
    <n v="0"/>
    <n v="-8000"/>
    <n v="0"/>
    <n v="15042.85"/>
    <n v="8099.28"/>
    <n v="0"/>
    <n v="0"/>
    <n v="0"/>
    <n v="0"/>
    <n v="0"/>
    <s v="20181130"/>
    <s v="G.N.P. ARRENDAMIENTO Y ADMINISTRACION DE FLOTILLAS"/>
    <s v="3G1TB5CF8HL164480"/>
    <n v="20171231"/>
    <n v="20181230"/>
    <m/>
    <s v="60250"/>
    <s v="Vigente"/>
    <s v="00000264753815"/>
    <s v="DISTRITO FEDERAL"/>
    <n v="2018"/>
    <s v="Privado"/>
    <s v="AVEO LT SEDAN W STD"/>
    <s v="0082076050"/>
    <s v="DIEGO RAFAEL BRISE#O MURO"/>
    <s v="Pendiente"/>
    <s v="3RO NISSAN PICK UP CAJA FRIA COLOR BLANCA"/>
    <s v="JALISCO"/>
    <x v="0"/>
    <s v="10:57"/>
    <s v="CIRCUNVALACION 1377"/>
    <d v="2018-06-11T00:00:00"/>
    <x v="0"/>
    <n v="33"/>
    <s v="TERCERO"/>
    <x v="11"/>
    <x v="2"/>
    <x v="8"/>
    <m/>
    <x v="9"/>
    <s v="DIEGO RAFAEL BRISE#O MURO"/>
  </r>
  <r>
    <s v="00000264966615"/>
    <s v="1"/>
    <s v="36868"/>
    <n v="6805.11"/>
    <n v="1663.89"/>
    <n v="6805.11"/>
    <n v="6805.11"/>
    <n v="42498.080000000002"/>
    <n v="6374.71"/>
    <n v="0"/>
    <n v="0"/>
    <n v="0"/>
    <n v="0"/>
    <n v="48872.79"/>
    <n v="36104.54"/>
    <n v="0"/>
    <n v="0"/>
    <n v="6393.54"/>
    <n v="0"/>
    <s v="20180109"/>
    <s v="G.N.P. ARRENDAMIENTO Y ADMINISTRACION DE FLOTILLAS"/>
    <s v="3G1TB5CF8HL164706"/>
    <n v="20171231"/>
    <n v="20181230"/>
    <m/>
    <s v="60250"/>
    <s v="Vigente"/>
    <s v="00000264753815"/>
    <s v="TAMAULIPAS"/>
    <n v="2016"/>
    <s v="Privado"/>
    <s v="AVEO &quot;F&quot; STD EE ABS A.AC. MP3 B/A 4P"/>
    <s v="0082136714"/>
    <s v="SANTOS ERNESTO RODRIGUEZ FLORES"/>
    <s v="Pendiente"/>
    <s v="VS SPARK COLOR AZUL"/>
    <s v="TAMAULIPAS"/>
    <x v="0"/>
    <s v="17:11"/>
    <s v="LOPEZ MATEOS"/>
    <d v="2018-06-12T00:00:00"/>
    <x v="0"/>
    <n v="33"/>
    <s v="ASEGURADO"/>
    <x v="11"/>
    <x v="2"/>
    <x v="8"/>
    <m/>
    <x v="9"/>
    <s v="SANTOS ERNESTO RODRIGUEZ FLORES"/>
  </r>
  <r>
    <s v="00000264966615"/>
    <s v="1"/>
    <s v="36868"/>
    <n v="0"/>
    <n v="1140.42"/>
    <n v="0"/>
    <n v="0"/>
    <n v="2800"/>
    <n v="3214.35"/>
    <n v="0"/>
    <n v="0"/>
    <n v="0"/>
    <n v="18629"/>
    <n v="24643.35"/>
    <n v="0"/>
    <n v="0"/>
    <n v="0"/>
    <n v="2800"/>
    <n v="0"/>
    <s v="20181004"/>
    <s v="G.N.P. ARRENDAMIENTO Y ADMINISTRACION DE FLOTILLAS"/>
    <s v="3G1TB5CF8HL164706"/>
    <n v="20171231"/>
    <n v="20181230"/>
    <m/>
    <s v="60250"/>
    <s v="Vigente"/>
    <s v="00000264753815"/>
    <s v="SINALOA"/>
    <n v="2017"/>
    <s v="Privado"/>
    <s v="AVEO &quot;F&quot; STD EE ABS A.AC. MP3 B/A 4P"/>
    <s v="0082112319"/>
    <m/>
    <s v="Reabierto"/>
    <s v="PARA CAMBIO DE SIPAC DE AXXA"/>
    <s v="Sinaloa"/>
    <x v="0"/>
    <s v="10:03"/>
    <s v="CALLE HERIBERTO VALDES"/>
    <d v="2018-06-12T00:00:00"/>
    <x v="0"/>
    <n v="33"/>
    <m/>
    <x v="11"/>
    <x v="2"/>
    <x v="8"/>
    <m/>
    <x v="9"/>
    <m/>
  </r>
  <r>
    <s v="00000264966755"/>
    <s v="1"/>
    <s v="36868"/>
    <n v="0"/>
    <n v="1302.67"/>
    <n v="0"/>
    <n v="0"/>
    <n v="4859.8900000000003"/>
    <n v="-471.02"/>
    <n v="0"/>
    <n v="-8000"/>
    <n v="0"/>
    <n v="0"/>
    <n v="-3611.13"/>
    <n v="4859.8900000000003"/>
    <n v="0"/>
    <n v="0"/>
    <n v="0"/>
    <n v="0"/>
    <s v="20180820"/>
    <s v="G.N.P. ARRENDAMIENTO Y ADMINISTRACION DE FLOTILLAS"/>
    <s v="3G1TB5CF1HL127240"/>
    <n v="20171231"/>
    <n v="20181230"/>
    <m/>
    <s v="60250"/>
    <s v="Vigente"/>
    <s v="00000264753815"/>
    <s v="HIDALGO"/>
    <n v="2018"/>
    <s v="Privado"/>
    <s v="AVEO LT SEDAN W STD"/>
    <s v="0082784489"/>
    <m/>
    <s v="Reabierto"/>
    <s v="COLISION"/>
    <s v="Mexico"/>
    <x v="0"/>
    <s v="08:59"/>
    <s v="BORDO DE XOCHIACA 0"/>
    <d v="2018-06-13T00:00:00"/>
    <x v="0"/>
    <n v="33"/>
    <m/>
    <x v="11"/>
    <x v="2"/>
    <x v="8"/>
    <m/>
    <x v="9"/>
    <m/>
  </r>
  <r>
    <s v="00000264966763"/>
    <s v="1"/>
    <s v="36868"/>
    <n v="0"/>
    <n v="3582.05"/>
    <n v="0"/>
    <n v="0"/>
    <n v="12534.5"/>
    <n v="307.85000000000002"/>
    <n v="0"/>
    <n v="-15658"/>
    <n v="0"/>
    <n v="5175.8100000000004"/>
    <n v="2360.16"/>
    <n v="12534.5"/>
    <n v="0"/>
    <n v="0"/>
    <n v="0"/>
    <n v="0"/>
    <s v="20180905"/>
    <s v="G.N.P. ARRENDAMIENTO Y ADMINISTRACION DE FLOTILLAS"/>
    <s v="3G1TB5CF5HL127242"/>
    <n v="20171231"/>
    <n v="20181230"/>
    <m/>
    <s v="60250"/>
    <s v="Vigente"/>
    <s v="00000264753815"/>
    <s v="DISTRITO FEDERAL"/>
    <n v="2017"/>
    <s v="Privado"/>
    <s v="AVEO &quot;F&quot; STD EE ABS A.AC. MP3 B/A 4P"/>
    <s v="0082189333"/>
    <s v="RODRIGO PEREZ OSOYO"/>
    <s v="Terminado"/>
    <s v="3RO MICROBUS BLANCO"/>
    <s v="Distrito Federal"/>
    <x v="0"/>
    <s v="08:52"/>
    <s v="CALLE MIXTECAS"/>
    <d v="2018-06-14T00:00:00"/>
    <x v="0"/>
    <n v="33"/>
    <s v="TERCERO"/>
    <x v="11"/>
    <x v="2"/>
    <x v="8"/>
    <m/>
    <x v="9"/>
    <s v="RODRIGO PEREZ OSOYO"/>
  </r>
  <r>
    <s v="00000264966789"/>
    <s v="1"/>
    <s v="36868"/>
    <n v="0"/>
    <n v="1232.27"/>
    <n v="7602.47"/>
    <n v="7602.47"/>
    <n v="9505.0499999999993"/>
    <n v="600.76"/>
    <n v="0"/>
    <n v="-5500"/>
    <n v="0"/>
    <n v="0"/>
    <n v="4605.8100000000004"/>
    <n v="9505.0499999999993"/>
    <n v="0"/>
    <n v="0"/>
    <n v="0"/>
    <n v="0"/>
    <s v="20180201"/>
    <s v="G.N.P. ARRENDAMIENTO Y ADMINISTRACION DE FLOTILLAS"/>
    <s v="3G1TB5CF1HL127268"/>
    <n v="20171231"/>
    <n v="20181230"/>
    <m/>
    <s v="60250"/>
    <s v="Vigente"/>
    <s v="00000264753815"/>
    <s v="DISTRITO FEDERAL"/>
    <n v="2018"/>
    <s v="Privado"/>
    <s v="AVEO LT SEDAN W STD"/>
    <s v="0082352139"/>
    <s v="HUMBERTO EZEQUIEL VEGA GUZMAN"/>
    <s v="Reabierto"/>
    <s v="3RO SI VERSA"/>
    <s v="Distrito Federal"/>
    <x v="0"/>
    <s v="14:36"/>
    <s v="GUADALUPE VICTORIA"/>
    <d v="2018-06-19T00:00:00"/>
    <x v="0"/>
    <n v="33"/>
    <s v="TERCERO"/>
    <x v="11"/>
    <x v="2"/>
    <x v="8"/>
    <m/>
    <x v="9"/>
    <s v="HUMBERTO EZEQUIEL VEGA GUZMAN"/>
  </r>
  <r>
    <s v="00000264966789"/>
    <s v="1"/>
    <s v="36868"/>
    <n v="0"/>
    <n v="1274.04"/>
    <n v="0"/>
    <n v="0"/>
    <n v="15658"/>
    <n v="2808.7"/>
    <n v="0"/>
    <n v="0"/>
    <n v="0"/>
    <n v="0"/>
    <n v="18466.7"/>
    <n v="0"/>
    <n v="0"/>
    <n v="0"/>
    <n v="15658"/>
    <n v="0"/>
    <s v="20181014"/>
    <s v="G.N.P. ARRENDAMIENTO Y ADMINISTRACION DE FLOTILLAS"/>
    <s v="3G1TB5CF1HL127268"/>
    <n v="20171231"/>
    <n v="20181230"/>
    <m/>
    <s v="60250"/>
    <s v="Vigente"/>
    <s v="00000264753815"/>
    <s v="DISTRITO FEDERAL"/>
    <n v="2018"/>
    <s v="Privado"/>
    <s v="AVEO LT SEDAN W STD"/>
    <s v="0082346578"/>
    <s v="JORGE ALBERTO FLORES SANTOS"/>
    <s v="Reabierto"/>
    <s v="NA ATROPELLA DE UN PERRO"/>
    <s v="TAMAULIPAS"/>
    <x v="6"/>
    <s v="13:10"/>
    <s v="ADOLFO LOPEZ MATEOS 3003"/>
    <d v="2018-06-19T00:00:00"/>
    <x v="0"/>
    <n v="33"/>
    <m/>
    <x v="11"/>
    <x v="2"/>
    <x v="8"/>
    <m/>
    <x v="9"/>
    <s v="JORGE ALBERTO FLORES SANTOS"/>
  </r>
  <r>
    <s v="00000264966797"/>
    <s v="1"/>
    <s v="36868"/>
    <n v="0"/>
    <n v="3161.22"/>
    <n v="0"/>
    <n v="0"/>
    <n v="2107.81"/>
    <n v="-2032.53"/>
    <n v="0"/>
    <n v="-15658"/>
    <n v="0"/>
    <n v="0"/>
    <n v="-15582.72"/>
    <n v="2107.81"/>
    <n v="0"/>
    <n v="0"/>
    <n v="0"/>
    <n v="0"/>
    <s v="20180313"/>
    <s v="G.N.P. ARRENDAMIENTO Y ADMINISTRACION DE FLOTILLAS"/>
    <s v="3G1TB5CF6HL126536"/>
    <n v="20171231"/>
    <n v="20181230"/>
    <m/>
    <s v="60250"/>
    <s v="Vigente"/>
    <s v="00000264756040"/>
    <s v="DISTRITO FEDERAL"/>
    <n v="2016"/>
    <s v="Privado"/>
    <s v="HONDA"/>
    <s v="0082452269"/>
    <s v="DAVID TADEO HERRERA GONZALEZ"/>
    <s v="Pendiente"/>
    <s v="3 ERO  CHEVROLET   CRUZE   COLOR   BLANCO"/>
    <s v="Distrito Federal"/>
    <x v="0"/>
    <s v="09:49"/>
    <s v="CERRO DE LAS   TORRES 395"/>
    <d v="2018-06-22T00:00:00"/>
    <x v="0"/>
    <n v="33"/>
    <s v="TERCERO"/>
    <x v="11"/>
    <x v="2"/>
    <x v="8"/>
    <m/>
    <x v="9"/>
    <s v="DAVID TADEO HERRERA GONZALEZ"/>
  </r>
  <r>
    <s v="00000264966805"/>
    <s v="1"/>
    <s v="36868"/>
    <n v="0"/>
    <n v="829.85"/>
    <n v="0"/>
    <n v="0"/>
    <n v="0"/>
    <n v="-1788.45"/>
    <n v="0"/>
    <n v="-15658"/>
    <n v="0"/>
    <n v="3735"/>
    <n v="-13711.45"/>
    <n v="0"/>
    <n v="0"/>
    <n v="0"/>
    <n v="0"/>
    <n v="0"/>
    <s v="20181130"/>
    <s v="G.N.P. ARRENDAMIENTO Y ADMINISTRACION DE FLOTILLAS"/>
    <s v="3G1TB5CFXHL127009"/>
    <n v="20171231"/>
    <n v="20181230"/>
    <m/>
    <s v="60250"/>
    <s v="Vigente"/>
    <s v="00000264753815"/>
    <s v="BAJA CALIFORNIA NTE."/>
    <n v="2017"/>
    <s v="Privado"/>
    <s v="AVEO &quot;F&quot; STD EE ABS A.AC. MP3 B/A 4P"/>
    <s v="0082589557"/>
    <s v="ALEJANDRA VIVIANA JUAREZ FRASQUILLO"/>
    <s v="Reabierto"/>
    <s v="3 ERO VH FORD COLOR GRIS"/>
    <s v="BAJA CALIFORNIA"/>
    <x v="0"/>
    <s v="22:35"/>
    <s v="VIA RAPIDA"/>
    <d v="2018-06-26T00:00:00"/>
    <x v="0"/>
    <n v="33"/>
    <s v="TERCERO"/>
    <x v="11"/>
    <x v="2"/>
    <x v="8"/>
    <m/>
    <x v="9"/>
    <s v="ALEJANDRA VIVIANA JUAREZ FRASQUILLO"/>
  </r>
  <r>
    <s v="00000264966839"/>
    <s v="1"/>
    <s v="36868"/>
    <n v="0"/>
    <n v="2166.4"/>
    <n v="0"/>
    <n v="0"/>
    <n v="10499.56"/>
    <n v="1296.25"/>
    <n v="0"/>
    <n v="-11795.81"/>
    <n v="0"/>
    <n v="0"/>
    <n v="0"/>
    <n v="10499.56"/>
    <n v="0"/>
    <n v="0"/>
    <n v="0"/>
    <n v="0"/>
    <s v="20180516"/>
    <s v="G.N.P. ARRENDAMIENTO Y ADMINISTRACION DE FLOTILLAS"/>
    <s v="3G1TB5CF9HL126160"/>
    <n v="20171231"/>
    <n v="20181230"/>
    <m/>
    <s v="60250"/>
    <s v="Vigente"/>
    <s v="00000264753815"/>
    <s v="DISTRITO FEDERAL"/>
    <n v="2018"/>
    <s v="Privado"/>
    <s v="AVEO LT SEDAN W STD"/>
    <s v="0082773706"/>
    <m/>
    <s v="Reabierto"/>
    <s v="3ERO CAMBIO DE SIPACK DE QUALITAS"/>
    <s v="Distrito Federal"/>
    <x v="0"/>
    <s v="13:25"/>
    <s v="ALBORADA 0"/>
    <d v="2018-06-26T00:00:00"/>
    <x v="0"/>
    <n v="33"/>
    <m/>
    <x v="11"/>
    <x v="2"/>
    <x v="8"/>
    <m/>
    <x v="9"/>
    <m/>
  </r>
  <r>
    <s v="00000264966839"/>
    <s v="1"/>
    <s v="36868"/>
    <n v="0"/>
    <n v="424.78"/>
    <n v="0"/>
    <n v="0"/>
    <n v="4333.3999999999996"/>
    <n v="-1248.69"/>
    <n v="0"/>
    <n v="-15658"/>
    <n v="0"/>
    <n v="3000"/>
    <n v="-9573.2900000000009"/>
    <n v="4333.3999999999996"/>
    <n v="0"/>
    <n v="0"/>
    <n v="0"/>
    <n v="0"/>
    <s v="20181107"/>
    <s v="G.N.P. ARRENDAMIENTO Y ADMINISTRACION DE FLOTILLAS"/>
    <s v="3G1TB5CF9HL126160"/>
    <n v="20171231"/>
    <n v="20181230"/>
    <m/>
    <s v="60250"/>
    <s v="Vigente"/>
    <s v="00000264753815"/>
    <s v="DISTRITO FEDERAL"/>
    <n v="2018"/>
    <s v="Privado"/>
    <s v="AVEO LT SEDAN W STD"/>
    <s v="0083633685"/>
    <m/>
    <s v="Terminado"/>
    <s v="VS LA PLUMA DE ACCESO"/>
    <s v="Mexico"/>
    <x v="0"/>
    <s v="10:35"/>
    <s v="AV BOSQUE DE LAS PALMAS 0"/>
    <d v="2018-06-26T00:00:00"/>
    <x v="0"/>
    <n v="33"/>
    <m/>
    <x v="11"/>
    <x v="2"/>
    <x v="8"/>
    <m/>
    <x v="9"/>
    <m/>
  </r>
  <r>
    <s v="00000264966839"/>
    <s v="1"/>
    <s v="36868"/>
    <n v="0"/>
    <n v="0"/>
    <n v="0"/>
    <n v="0"/>
    <n v="4434.76"/>
    <n v="665.21"/>
    <n v="0"/>
    <n v="0"/>
    <n v="0"/>
    <n v="0"/>
    <n v="5099.97"/>
    <n v="4434.76"/>
    <n v="0"/>
    <n v="0"/>
    <n v="0"/>
    <n v="0"/>
    <s v="20181210"/>
    <s v="G.N.P. ARRENDAMIENTO Y ADMINISTRACION DE FLOTILLAS"/>
    <s v="3G1TB5CF9HL126160"/>
    <n v="20171231"/>
    <n v="20181230"/>
    <m/>
    <s v="60250"/>
    <s v="Vigente"/>
    <s v="00000264753815"/>
    <s v="HIDALGO"/>
    <n v="2016"/>
    <s v="Privado"/>
    <s v="AVEO &quot;F&quot; STD EE ABS A.AC. MP3 B/A 4P"/>
    <s v="0082649641"/>
    <s v="JOSE MIGUEL MORFIN GONZALEZ"/>
    <s v="Reabierto"/>
    <s v="HAY 3RO TAXI"/>
    <s v="HIDALGO"/>
    <x v="0"/>
    <s v="15:32"/>
    <s v="FELIPE ANGELES"/>
    <d v="2018-06-28T00:00:00"/>
    <x v="0"/>
    <n v="33"/>
    <m/>
    <x v="11"/>
    <x v="2"/>
    <x v="8"/>
    <m/>
    <x v="9"/>
    <s v="JOSE MIGUEL MORFIN GONZALEZ"/>
  </r>
  <r>
    <s v="00000264966896"/>
    <s v="1"/>
    <s v="36868"/>
    <n v="0"/>
    <n v="1374.48"/>
    <n v="8479.7999999999993"/>
    <n v="8479.7999999999993"/>
    <n v="3042"/>
    <n v="456.3"/>
    <n v="0"/>
    <n v="0"/>
    <n v="0"/>
    <n v="0"/>
    <n v="3498.3"/>
    <n v="0"/>
    <n v="0"/>
    <n v="0"/>
    <n v="3042"/>
    <n v="0"/>
    <s v="20180209"/>
    <s v="G.N.P. ARRENDAMIENTO Y ADMINISTRACION DE FLOTILLAS"/>
    <s v="3G1TB5CF0HL149651"/>
    <n v="20171231"/>
    <n v="20181230"/>
    <m/>
    <s v="60250"/>
    <s v="Vigente"/>
    <s v="00000264753815"/>
    <s v="TABASCO"/>
    <n v="2017"/>
    <s v="Privado"/>
    <s v="AVEO &quot;F&quot; STD EE ABS A.AC. MP3 B/A 4P"/>
    <s v="0082659004"/>
    <s v="ADRIANA ZALAVAL MADRIGAL"/>
    <s v="Terminado"/>
    <s v="3RO CAMIONETA VAN COLOR BLANCA"/>
    <s v="Veracruz"/>
    <x v="0"/>
    <s v="18:43"/>
    <s v="CALLE 16 514"/>
    <d v="2018-06-28T00:00:00"/>
    <x v="0"/>
    <n v="33"/>
    <s v="TERCERO"/>
    <x v="11"/>
    <x v="2"/>
    <x v="8"/>
    <m/>
    <x v="9"/>
    <s v="ADRIANA ZALAVAL MADRIGAL"/>
  </r>
  <r>
    <s v="00000264966896"/>
    <s v="1"/>
    <s v="36868"/>
    <n v="0"/>
    <n v="722.18"/>
    <n v="0"/>
    <n v="0"/>
    <n v="3500"/>
    <n v="525"/>
    <n v="0"/>
    <n v="0"/>
    <n v="0"/>
    <n v="0"/>
    <n v="4025"/>
    <n v="0"/>
    <n v="0"/>
    <n v="0"/>
    <n v="3500"/>
    <n v="0"/>
    <s v="20181005"/>
    <s v="G.N.P. ARRENDAMIENTO Y ADMINISTRACION DE FLOTILLAS"/>
    <s v="3G1TB5CF0HL149651"/>
    <n v="20171231"/>
    <n v="20181230"/>
    <m/>
    <s v="60250"/>
    <s v="Vigente"/>
    <s v="00000264753815"/>
    <s v="ESTADO DE MEXICO"/>
    <n v="2017"/>
    <s v="Privado"/>
    <s v="AVEO &quot;F&quot; STD EE ABS A.AC. MP3 B/A 4P"/>
    <s v="0082714213"/>
    <s v="JOSE RICARDO DURAN RAMIREZ"/>
    <s v="Terminado"/>
    <s v="FORD FIESTA TAXI BLANCO"/>
    <s v="Mexico"/>
    <x v="0"/>
    <s v="17:03"/>
    <s v="TOLUCA. TLACOMULCO"/>
    <d v="2018-06-30T00:00:00"/>
    <x v="0"/>
    <n v="33"/>
    <s v="ASEGURADO"/>
    <x v="11"/>
    <x v="2"/>
    <x v="8"/>
    <m/>
    <x v="9"/>
    <s v="JOSE RICARDO DURAN RAMIREZ"/>
  </r>
  <r>
    <s v="00000264966912"/>
    <s v="1"/>
    <s v="36868"/>
    <n v="0"/>
    <n v="1099.83"/>
    <n v="0"/>
    <n v="0"/>
    <n v="9312.35"/>
    <n v="-951.85"/>
    <n v="0"/>
    <n v="-15658"/>
    <n v="0"/>
    <n v="0"/>
    <n v="-7297.5"/>
    <n v="9312.35"/>
    <n v="0"/>
    <n v="0"/>
    <n v="0"/>
    <n v="0"/>
    <s v="20180530"/>
    <s v="G.N.P. ARRENDAMIENTO Y ADMINISTRACION DE FLOTILLAS"/>
    <s v="3G1TB5CF0HL151772"/>
    <n v="20171231"/>
    <n v="20181230"/>
    <m/>
    <s v="60250"/>
    <s v="Vigente"/>
    <s v="00000264753815"/>
    <s v="AGUASCALIENTES"/>
    <n v="2016"/>
    <s v="Privado"/>
    <s v="AVEO &quot;F&quot; STD EE ABS A.AC. MP3 B/A 4P"/>
    <s v="0082953068"/>
    <s v="DANIEL ALEJANDRO VILLALOBOS CAMPOS"/>
    <s v="Pendiente"/>
    <s v="3ROS EN LUGAR 4 VEHICULOS"/>
    <s v="AGUASCALIENTES"/>
    <x v="0"/>
    <s v="14:22"/>
    <s v="PASEO DE LA CRUZ"/>
    <d v="2018-07-09T00:00:00"/>
    <x v="0"/>
    <n v="33"/>
    <s v="TERCERO"/>
    <x v="11"/>
    <x v="2"/>
    <x v="8"/>
    <m/>
    <x v="9"/>
    <s v="DANIEL ALEJANDRO VILLALOBOS CAMPOS"/>
  </r>
  <r>
    <s v="00000264966961"/>
    <s v="1"/>
    <s v="36868"/>
    <n v="0"/>
    <n v="1022.64"/>
    <n v="0"/>
    <n v="0"/>
    <n v="0"/>
    <n v="-189.75"/>
    <n v="0"/>
    <n v="-5000"/>
    <n v="0"/>
    <n v="3735"/>
    <n v="-1454.75"/>
    <n v="0"/>
    <n v="0"/>
    <n v="0"/>
    <n v="0"/>
    <n v="0"/>
    <s v="20180516"/>
    <s v="G.N.P. ARRENDAMIENTO Y ADMINISTRACION DE FLOTILLAS"/>
    <s v="3G1TB5CF0HL163551"/>
    <n v="20171231"/>
    <n v="20181230"/>
    <m/>
    <s v="60250"/>
    <s v="Vigente"/>
    <s v="00000264758509"/>
    <s v="DISTRITO FEDERAL"/>
    <n v="2013"/>
    <s v="Ambulancia"/>
    <s v="FORD F-350 SUPER DUTY XL"/>
    <s v="0082795964"/>
    <m/>
    <s v="Reabierto"/>
    <s v="EN EL LUGAR MAZDA VINO"/>
    <s v="Distrito Federal"/>
    <x v="0"/>
    <s v="19:22"/>
    <s v="CDA SANTA CRUZ TACALCO"/>
    <d v="2018-07-03T00:00:00"/>
    <x v="0"/>
    <n v="33"/>
    <m/>
    <x v="12"/>
    <x v="2"/>
    <x v="8"/>
    <m/>
    <x v="9"/>
    <m/>
  </r>
  <r>
    <s v="00000264966987"/>
    <s v="1"/>
    <s v="36868"/>
    <n v="0"/>
    <n v="1905.68"/>
    <n v="7882.55"/>
    <n v="7882.55"/>
    <n v="0"/>
    <n v="2831.7"/>
    <n v="0"/>
    <n v="0"/>
    <n v="0"/>
    <n v="15658"/>
    <n v="18489.7"/>
    <n v="0"/>
    <n v="0"/>
    <n v="0"/>
    <n v="0"/>
    <n v="0"/>
    <s v="20180207"/>
    <s v="G.N.P. ARRENDAMIENTO Y ADMINISTRACION DE FLOTILLAS"/>
    <s v="3G1TB5CF0HL164375"/>
    <n v="20171231"/>
    <n v="20181230"/>
    <m/>
    <s v="60250"/>
    <s v="Vigente"/>
    <s v="00000264753815"/>
    <s v="DISTRITO FEDERAL"/>
    <n v="2018"/>
    <s v="Privado"/>
    <s v="AVEO LT SEDAN W STD"/>
    <s v="0082794249"/>
    <s v="ISRAEL BERNAL RICO"/>
    <s v="Terminado"/>
    <s v="3RO EN LGUAR AVEO COLOR GRIS"/>
    <s v="Distrito Federal"/>
    <x v="0"/>
    <s v="18:33"/>
    <s v="RIO CHURUBUSCO"/>
    <d v="2018-07-03T00:00:00"/>
    <x v="0"/>
    <n v="33"/>
    <s v="ASEGURADO"/>
    <x v="12"/>
    <x v="2"/>
    <x v="8"/>
    <m/>
    <x v="9"/>
    <s v="ISRAEL BERNAL RICO"/>
  </r>
  <r>
    <s v="00000264967076"/>
    <s v="1"/>
    <s v="36868"/>
    <n v="0"/>
    <n v="2143.25"/>
    <n v="0"/>
    <n v="0"/>
    <n v="17576.96"/>
    <n v="724.84"/>
    <n v="0"/>
    <n v="-15658"/>
    <n v="0"/>
    <n v="0"/>
    <n v="2643.8"/>
    <n v="17576.96"/>
    <n v="0"/>
    <n v="0"/>
    <n v="0"/>
    <n v="0"/>
    <s v="20180601"/>
    <s v="G.N.P. ARRENDAMIENTO Y ADMINISTRACION DE FLOTILLAS"/>
    <s v="3G1TB5CF1HL150274"/>
    <n v="20171231"/>
    <n v="20181230"/>
    <m/>
    <s v="60250"/>
    <s v="Vigente"/>
    <s v="00000264753815"/>
    <s v="DISTRITO FEDERAL"/>
    <n v="2018"/>
    <s v="Privado"/>
    <s v="AVEO LT SEDAN W STD"/>
    <s v="0082766791"/>
    <s v="DIEGO ULISES BARAJAS AMEZCUA"/>
    <s v="Terminado"/>
    <s v="3 ERO  FORD  RANGER  COLOR  BEIGE"/>
    <s v="JALISCO"/>
    <x v="0"/>
    <s v="08:56"/>
    <s v="AV LAZARO CARDENAS"/>
    <d v="2018-07-03T00:00:00"/>
    <x v="0"/>
    <n v="33"/>
    <s v="TERCERO"/>
    <x v="12"/>
    <x v="2"/>
    <x v="8"/>
    <m/>
    <x v="9"/>
    <s v="DIEGO ULISES BARAJAS AMEZCUA"/>
  </r>
  <r>
    <s v="00000264967134"/>
    <s v="1"/>
    <s v="36868"/>
    <n v="5154.01"/>
    <n v="1741.61"/>
    <n v="0"/>
    <n v="0"/>
    <n v="5058.4399999999996"/>
    <n v="0"/>
    <n v="0"/>
    <n v="-5058.4399999999996"/>
    <n v="0"/>
    <n v="0"/>
    <n v="0"/>
    <n v="3258.33"/>
    <n v="1800.11"/>
    <n v="0"/>
    <n v="0"/>
    <n v="0"/>
    <s v="20180112"/>
    <s v="G.N.P. ARRENDAMIENTO Y ADMINISTRACION DE FLOTILLAS"/>
    <s v="3G1TB5CF1HL165020"/>
    <n v="20171231"/>
    <n v="20181230"/>
    <m/>
    <s v="60250"/>
    <s v="Vigente"/>
    <s v="00000264753815"/>
    <s v="NUEVO LEON"/>
    <n v="2017"/>
    <s v="Privado"/>
    <s v="AVEO &quot;F&quot; STD EE ABS A.AC. MP3 B/A 4P"/>
    <s v="0082876301"/>
    <s v="LUIS BRAYAN JUAREZ GAMEZ"/>
    <s v="Terminado"/>
    <s v="3ERO VW VENTO GRIS"/>
    <s v="NUEVO LEON"/>
    <x v="0"/>
    <s v="08:10"/>
    <s v="AV CONSTITUCION"/>
    <d v="2018-07-06T00:00:00"/>
    <x v="0"/>
    <n v="33"/>
    <s v="TERCERO"/>
    <x v="12"/>
    <x v="2"/>
    <x v="8"/>
    <m/>
    <x v="9"/>
    <s v="LUIS BRAYAN JUAREZ GAMEZ"/>
  </r>
  <r>
    <s v="00000264967134"/>
    <s v="1"/>
    <s v="36868"/>
    <n v="0"/>
    <n v="1302.67"/>
    <n v="0"/>
    <n v="0"/>
    <n v="10362.5"/>
    <n v="-3386.69"/>
    <n v="0"/>
    <n v="-32940.410000000003"/>
    <n v="0"/>
    <n v="0"/>
    <n v="-25964.6"/>
    <n v="10362.5"/>
    <n v="0"/>
    <n v="0"/>
    <n v="0"/>
    <n v="0"/>
    <s v="20180821"/>
    <s v="G.N.P. ARRENDAMIENTO Y ADMINISTRACION DE FLOTILLAS"/>
    <s v="3G1TB5CF1HL165020"/>
    <n v="20171231"/>
    <n v="20181230"/>
    <m/>
    <s v="60250"/>
    <s v="Vigente"/>
    <s v="00000264753815"/>
    <s v="DISTRITO FEDERAL"/>
    <n v="2017"/>
    <s v="Privado"/>
    <s v="AVEO &quot;F&quot; STD EE ABS A.AC. MP3 B/A 4P"/>
    <s v="0082881996"/>
    <s v="MARTIN JIMENEZ REYES"/>
    <s v="Terminado"/>
    <s v="3RO EN LUGAR MARCH 02..AUTO UTILITARIO DE GNP"/>
    <s v="Distrito Federal"/>
    <x v="0"/>
    <s v="10:42"/>
    <s v="AV REVOLUCION"/>
    <d v="2018-07-06T00:00:00"/>
    <x v="0"/>
    <n v="33"/>
    <s v="ASEGURADO"/>
    <x v="12"/>
    <x v="2"/>
    <x v="8"/>
    <m/>
    <x v="9"/>
    <s v="MARTIN JIMENEZ REYES"/>
  </r>
  <r>
    <s v="00000264967134"/>
    <s v="1"/>
    <s v="36868"/>
    <n v="0"/>
    <n v="424.78"/>
    <n v="0"/>
    <n v="0"/>
    <n v="15658"/>
    <n v="2348.6999999999998"/>
    <n v="0"/>
    <n v="0"/>
    <n v="0"/>
    <n v="0"/>
    <n v="18006.7"/>
    <n v="0"/>
    <n v="0"/>
    <n v="0"/>
    <n v="15658"/>
    <n v="0"/>
    <s v="20181114"/>
    <s v="G.N.P. ARRENDAMIENTO Y ADMINISTRACION DE FLOTILLAS"/>
    <s v="3G1TB5CF1HL165020"/>
    <n v="20171231"/>
    <n v="20181230"/>
    <m/>
    <s v="60250"/>
    <s v="Vigente"/>
    <s v="00000264753815"/>
    <s v="DISTRITO FEDERAL"/>
    <n v="2018"/>
    <s v="Privado"/>
    <s v="AVEO LT SEDAN W STD"/>
    <s v="0082924309"/>
    <s v="DIEGO GUZMAN ZERON"/>
    <s v="Terminado"/>
    <s v="VW JETTA CLASSICO ROJO"/>
    <s v="PUEBLA"/>
    <x v="0"/>
    <s v="20:31"/>
    <s v="11 SUR"/>
    <d v="2018-07-07T00:00:00"/>
    <x v="0"/>
    <n v="33"/>
    <m/>
    <x v="12"/>
    <x v="2"/>
    <x v="8"/>
    <m/>
    <x v="9"/>
    <s v="DIEGO GUZMAN ZERON"/>
  </r>
  <r>
    <s v="00000264967159"/>
    <s v="1"/>
    <s v="36868"/>
    <n v="0"/>
    <n v="411.73"/>
    <n v="0"/>
    <n v="0"/>
    <n v="5150"/>
    <n v="772.5"/>
    <n v="0"/>
    <n v="0"/>
    <n v="0"/>
    <n v="0"/>
    <n v="5922.5"/>
    <n v="0"/>
    <n v="5150"/>
    <n v="0"/>
    <n v="0"/>
    <n v="0"/>
    <s v="20180810"/>
    <s v="G.N.P. ARRENDAMIENTO Y ADMINISTRACION DE FLOTILLAS"/>
    <s v="3G1TB5CF9HL165976"/>
    <n v="20171231"/>
    <n v="20181230"/>
    <m/>
    <s v="60250"/>
    <s v="Vigente"/>
    <s v="00000264753815"/>
    <s v="NUEVO LEON"/>
    <n v="2016"/>
    <s v="Privado"/>
    <s v="AVEO &quot;F&quot; STD EE ABS A.AC. MP3 B/A 4P"/>
    <s v="0082965161"/>
    <s v="JOEL ANTONIO CAZARES SANCHEZ"/>
    <s v="Pendiente"/>
    <s v="3RO CAMIONETA VAN AZUL"/>
    <s v="NUEVO LEON"/>
    <x v="0"/>
    <s v="18:11"/>
    <s v="FRAY LUIS DE LEON"/>
    <d v="2018-07-09T00:00:00"/>
    <x v="0"/>
    <n v="33"/>
    <s v="ASEGURADO"/>
    <x v="12"/>
    <x v="2"/>
    <x v="8"/>
    <m/>
    <x v="9"/>
    <s v="JOEL ANTONIO CAZARES SANCHEZ"/>
  </r>
  <r>
    <s v="00000264967209"/>
    <s v="1"/>
    <s v="36868"/>
    <n v="0"/>
    <n v="671.32"/>
    <n v="0"/>
    <n v="0"/>
    <n v="0"/>
    <n v="483"/>
    <n v="0"/>
    <n v="0"/>
    <n v="0"/>
    <n v="0"/>
    <n v="483"/>
    <n v="0"/>
    <n v="0"/>
    <n v="0"/>
    <n v="0"/>
    <n v="0"/>
    <s v="20180224"/>
    <s v="G.N.P. ARRENDAMIENTO Y ADMINISTRACION DE FLOTILLAS"/>
    <s v="3G1TB5CF2HL152003"/>
    <n v="20171231"/>
    <n v="20181230"/>
    <m/>
    <s v="60250"/>
    <s v="Vigente"/>
    <s v="00000264753815"/>
    <s v="NUEVO LEON"/>
    <n v="2017"/>
    <s v="Privado"/>
    <s v="AVEO &quot;F&quot; STD EE ABS A.AC. MP3 B/A 4P"/>
    <s v="0082941121"/>
    <s v="VICTOR HUGO BARRERA AREVALO"/>
    <s v="Terminado"/>
    <s v="3RO SI VH FORD PICK UP"/>
    <s v="NUEVO LEON"/>
    <x v="0"/>
    <s v="10:16"/>
    <s v="3RA ZONA"/>
    <d v="2018-07-09T00:00:00"/>
    <x v="0"/>
    <n v="33"/>
    <s v="ASEGURADO"/>
    <x v="12"/>
    <x v="2"/>
    <x v="8"/>
    <m/>
    <x v="9"/>
    <s v="VICTOR HUGO BARRERA AREVALO"/>
  </r>
  <r>
    <s v="00000264967217"/>
    <s v="1"/>
    <s v="36868"/>
    <n v="0"/>
    <n v="458.44"/>
    <n v="0"/>
    <n v="0"/>
    <n v="0"/>
    <n v="450"/>
    <n v="0"/>
    <n v="0"/>
    <n v="0"/>
    <n v="3000"/>
    <n v="3450"/>
    <n v="0"/>
    <n v="0"/>
    <n v="0"/>
    <n v="0"/>
    <n v="0"/>
    <s v="20181121"/>
    <s v="G.N.P. ARRENDAMIENTO Y ADMINISTRACION DE FLOTILLAS"/>
    <s v="3G1TB5CF2HL152745"/>
    <n v="20171231"/>
    <n v="20181230"/>
    <m/>
    <s v="60250"/>
    <s v="Vigente"/>
    <s v="00000264753815"/>
    <s v="DISTRITO FEDERAL"/>
    <n v="2017"/>
    <s v="Privado"/>
    <s v="AVEO &quot;F&quot; STD EE ABS A.AC. MP3 B/A 4P"/>
    <s v="0082949322"/>
    <s v="ELIAS RAMIREZ OSNAYA"/>
    <s v="Reabierto"/>
    <s v="NA VEHICULO CON GOLPE"/>
    <s v="Distrito Federal"/>
    <x v="0"/>
    <s v="13:20"/>
    <s v="CERRO DE LAS TORRES 395"/>
    <d v="2018-07-09T00:00:00"/>
    <x v="0"/>
    <n v="33"/>
    <m/>
    <x v="12"/>
    <x v="2"/>
    <x v="8"/>
    <m/>
    <x v="9"/>
    <s v="ELIAS RAMIREZ OSNAYA"/>
  </r>
  <r>
    <s v="00000264967225"/>
    <s v="1"/>
    <s v="36868"/>
    <n v="0"/>
    <n v="2641.96"/>
    <n v="0"/>
    <n v="0"/>
    <n v="4201.1899999999996"/>
    <n v="-1235.52"/>
    <n v="0"/>
    <n v="-15658"/>
    <n v="0"/>
    <n v="0"/>
    <n v="-12692.33"/>
    <n v="4201.1899999999996"/>
    <n v="0"/>
    <n v="0"/>
    <n v="0"/>
    <n v="0"/>
    <s v="20180425"/>
    <s v="G.N.P. ARRENDAMIENTO Y ADMINISTRACION DE FLOTILLAS"/>
    <s v="3G1TB5CF2HL164832"/>
    <n v="20171231"/>
    <n v="20181230"/>
    <m/>
    <s v="60250"/>
    <s v="Vigente"/>
    <s v="00000264756040"/>
    <s v="DISTRITO FEDERAL"/>
    <n v="2016"/>
    <s v="Privado"/>
    <s v="HONDA"/>
    <s v="0082994963"/>
    <s v="DELWIN MORENO GARCIA"/>
    <s v="Reabierto"/>
    <s v="CAE BACHE"/>
    <s v="Mexico"/>
    <x v="0"/>
    <s v="16:00"/>
    <s v="LATERAL PERIFERICO"/>
    <d v="2018-07-10T00:00:00"/>
    <x v="0"/>
    <n v="33"/>
    <s v="ASEGURADO"/>
    <x v="12"/>
    <x v="2"/>
    <x v="8"/>
    <m/>
    <x v="9"/>
    <s v="DELWIN MORENO GARCIA"/>
  </r>
  <r>
    <s v="00000264967258"/>
    <s v="1"/>
    <s v="36868"/>
    <n v="0"/>
    <n v="550.14"/>
    <n v="0"/>
    <n v="0"/>
    <n v="15658"/>
    <n v="2348.6999999999998"/>
    <n v="0"/>
    <n v="0"/>
    <n v="0"/>
    <n v="0"/>
    <n v="18006.7"/>
    <n v="0"/>
    <n v="0"/>
    <n v="0"/>
    <n v="15658"/>
    <n v="0"/>
    <s v="20181128"/>
    <s v="G.N.P. ARRENDAMIENTO Y ADMINISTRACION DE FLOTILLAS"/>
    <s v="3G1TB5CF2HL165317"/>
    <n v="20171231"/>
    <n v="20181230"/>
    <m/>
    <s v="60250"/>
    <s v="Vigente"/>
    <s v="00000264753815"/>
    <s v="DISTRITO FEDERAL"/>
    <n v="2018"/>
    <s v="Privado"/>
    <s v="AVEO LT SEDAN W STD"/>
    <s v="0083001016"/>
    <s v="DIEGO ISAAC GUZMAN CERON"/>
    <s v="Terminado"/>
    <s v="3RO  VCH  VW PONITER NEGRO"/>
    <s v="PUEBLA"/>
    <x v="0"/>
    <s v="18:25"/>
    <s v="JUAREZ"/>
    <d v="2018-07-10T00:00:00"/>
    <x v="0"/>
    <n v="33"/>
    <s v="TERCERO"/>
    <x v="12"/>
    <x v="2"/>
    <x v="8"/>
    <m/>
    <x v="9"/>
    <s v="DIEGO ISAAC GUZMAN CERON"/>
  </r>
  <r>
    <s v="00000264967266"/>
    <s v="1"/>
    <s v="36868"/>
    <n v="0"/>
    <n v="1274.04"/>
    <n v="0"/>
    <n v="0"/>
    <n v="15658"/>
    <n v="2348.6999999999998"/>
    <n v="0"/>
    <n v="0"/>
    <n v="0"/>
    <n v="0"/>
    <n v="18006.7"/>
    <n v="0"/>
    <n v="0"/>
    <n v="0"/>
    <n v="15658"/>
    <n v="0"/>
    <s v="20181024"/>
    <s v="G.N.P. ARRENDAMIENTO Y ADMINISTRACION DE FLOTILLAS"/>
    <s v="3G1TB5CF2HL165382"/>
    <n v="20171231"/>
    <n v="20181230"/>
    <m/>
    <s v="60250"/>
    <s v="Vigente"/>
    <s v="00000264753815"/>
    <s v="BAJA CALIFORNIA NTE."/>
    <n v="2016"/>
    <s v="Privado"/>
    <s v="AVEO &quot;F&quot; STD EE ABS A.AC. MP3 B/A 4P"/>
    <s v="0083234088"/>
    <m/>
    <s v="Terminado"/>
    <s v="CR PARABRISAS"/>
    <s v="BAJA CALIFORNIA"/>
    <x v="1"/>
    <s v="13:00"/>
    <s v="CR PARABRISAS"/>
    <d v="2018-07-18T00:00:00"/>
    <x v="0"/>
    <n v="33"/>
    <m/>
    <x v="12"/>
    <x v="2"/>
    <x v="8"/>
    <m/>
    <x v="9"/>
    <m/>
  </r>
  <r>
    <s v="00000264967282"/>
    <s v="1"/>
    <s v="36868"/>
    <n v="0"/>
    <n v="3396.99"/>
    <n v="6831.5"/>
    <n v="6831.5"/>
    <n v="118868.25"/>
    <n v="29790.21"/>
    <n v="-45689.66"/>
    <n v="0"/>
    <n v="0"/>
    <n v="0"/>
    <n v="102968.8"/>
    <n v="115711.97"/>
    <n v="3156.28"/>
    <n v="0"/>
    <n v="0"/>
    <n v="0"/>
    <s v="20180221"/>
    <s v="G.N.P. ARRENDAMIENTO Y ADMINISTRACION DE FLOTILLAS"/>
    <s v="3G1TB5CF9HL164682"/>
    <n v="20171231"/>
    <n v="20181230"/>
    <m/>
    <s v="60250"/>
    <s v="Vigente"/>
    <s v="00000264753815"/>
    <s v="DISTRITO FEDERAL"/>
    <n v="2018"/>
    <s v="Privado"/>
    <s v="AVEO LT SEDAN W STD"/>
    <s v="0083297416"/>
    <s v="NOE ISRAEL BERNAL RICO"/>
    <s v="Reabierto"/>
    <s v="3RO AVEO EN EL LUGAR"/>
    <s v="Distrito Federal"/>
    <x v="0"/>
    <s v="07:28"/>
    <s v="ERMITA"/>
    <d v="2018-07-20T00:00:00"/>
    <x v="0"/>
    <n v="33"/>
    <s v="ASEGURADO"/>
    <x v="12"/>
    <x v="2"/>
    <x v="8"/>
    <m/>
    <x v="9"/>
    <s v="NOE ISRAEL BERNAL RICO"/>
  </r>
  <r>
    <s v="00000264967324"/>
    <s v="1"/>
    <s v="36868"/>
    <n v="0"/>
    <n v="1294.93"/>
    <n v="0"/>
    <n v="0"/>
    <n v="0"/>
    <n v="0"/>
    <n v="0"/>
    <n v="0"/>
    <n v="0"/>
    <n v="0"/>
    <n v="0"/>
    <n v="0"/>
    <n v="0"/>
    <n v="0"/>
    <n v="0"/>
    <n v="0"/>
    <s v="20180309"/>
    <s v="G.N.P. ARRENDAMIENTO Y ADMINISTRACION DE FLOTILLAS"/>
    <s v="3G1TB5CF3HL162409"/>
    <n v="20171231"/>
    <n v="20181230"/>
    <m/>
    <s v="60250"/>
    <s v="Vigente"/>
    <s v="00000264753815"/>
    <s v="DISTRITO FEDERAL"/>
    <n v="2018"/>
    <s v="Privado"/>
    <s v="AVEO LT SEDAN W STD"/>
    <s v="0083453514"/>
    <s v="OSCAR ALEJANDRO SILVA MENDOZA"/>
    <s v="Reabierto"/>
    <s v="POSTE"/>
    <s v="JALISCO"/>
    <x v="0"/>
    <s v="14:10"/>
    <s v="AMERICAS"/>
    <d v="2018-07-25T00:00:00"/>
    <x v="0"/>
    <n v="33"/>
    <s v="ASEGURADO"/>
    <x v="12"/>
    <x v="2"/>
    <x v="8"/>
    <m/>
    <x v="9"/>
    <s v="OSCAR ALEJANDRO SILVA MENDOZA"/>
  </r>
  <r>
    <s v="00000264967332"/>
    <s v="1"/>
    <s v="36868"/>
    <n v="0"/>
    <n v="1697.67"/>
    <n v="0"/>
    <n v="0"/>
    <n v="38864.230000000003"/>
    <n v="5829.63"/>
    <n v="0"/>
    <n v="0"/>
    <n v="0"/>
    <n v="0"/>
    <n v="44693.86"/>
    <n v="23206.23"/>
    <n v="0"/>
    <n v="0"/>
    <n v="15658"/>
    <n v="0"/>
    <s v="20180308"/>
    <s v="G.N.P. ARRENDAMIENTO Y ADMINISTRACION DE FLOTILLAS"/>
    <s v="3G1TB5CF3HL162474"/>
    <n v="20171231"/>
    <n v="20181230"/>
    <m/>
    <s v="60250"/>
    <s v="Vigente"/>
    <s v="00000264753815"/>
    <s v="DISTRITO FEDERAL"/>
    <n v="2016"/>
    <s v="Privado"/>
    <s v="AVEO &quot;F&quot; STD EE ABS A.AC. MP3 B/A 4P"/>
    <s v="0083499269"/>
    <s v="ALDO PEREZ MARTINEZ"/>
    <s v="Terminado"/>
    <s v="COLISION CON BACHE"/>
    <s v="Mexico"/>
    <x v="0"/>
    <s v="17:40"/>
    <s v="LOPEZ PORTILLO"/>
    <d v="2018-07-26T00:00:00"/>
    <x v="0"/>
    <n v="33"/>
    <m/>
    <x v="12"/>
    <x v="2"/>
    <x v="8"/>
    <m/>
    <x v="9"/>
    <s v="ALDO PEREZ MARTINEZ"/>
  </r>
  <r>
    <s v="00000264967332"/>
    <s v="1"/>
    <s v="36868"/>
    <n v="0"/>
    <n v="414.07"/>
    <n v="0"/>
    <n v="0"/>
    <n v="17458"/>
    <n v="14624.42"/>
    <n v="0"/>
    <n v="0"/>
    <n v="0"/>
    <n v="50306.8"/>
    <n v="82389.22"/>
    <n v="0"/>
    <n v="1800"/>
    <n v="0"/>
    <n v="15658"/>
    <n v="0"/>
    <s v="20181202"/>
    <s v="G.N.P. ARRENDAMIENTO Y ADMINISTRACION DE FLOTILLAS"/>
    <s v="3G1TB5CF3HL162474"/>
    <n v="20171231"/>
    <n v="20181230"/>
    <m/>
    <s v="60250"/>
    <s v="Vigente"/>
    <s v="00000264756040"/>
    <s v="DISTRITO FEDERAL"/>
    <n v="2016"/>
    <s v="Privado"/>
    <s v="HONDA"/>
    <s v="0083478982"/>
    <s v="JORGE ALBERTO CARRETO SOSA"/>
    <s v="Pendiente"/>
    <s v="VS AVEO ROJO"/>
    <s v="Distrito Federal"/>
    <x v="0"/>
    <s v="10:37"/>
    <s v="PERIFERICO SUR"/>
    <d v="2018-07-26T00:00:00"/>
    <x v="0"/>
    <n v="33"/>
    <s v="TERCERO"/>
    <x v="12"/>
    <x v="2"/>
    <x v="8"/>
    <m/>
    <x v="9"/>
    <s v="JORGE ALBERTO CARRETO SOSA"/>
  </r>
  <r>
    <s v="00000264967340"/>
    <s v="1"/>
    <s v="36868"/>
    <n v="0"/>
    <n v="649.66"/>
    <n v="0"/>
    <n v="0"/>
    <n v="0"/>
    <n v="1469.7"/>
    <n v="0"/>
    <n v="0"/>
    <n v="0"/>
    <n v="6578"/>
    <n v="8047.7"/>
    <n v="0"/>
    <n v="0"/>
    <n v="0"/>
    <n v="0"/>
    <n v="0"/>
    <s v="20181101"/>
    <s v="G.N.P. ARRENDAMIENTO Y ADMINISTRACION DE FLOTILLAS"/>
    <s v="3G1TB5CF3HL162765"/>
    <n v="20171231"/>
    <n v="20181230"/>
    <m/>
    <s v="60250"/>
    <s v="Vigente"/>
    <s v="00000264753815"/>
    <s v="DISTRITO FEDERAL"/>
    <n v="2018"/>
    <s v="Privado"/>
    <s v="AVEO LT SEDAN W STD"/>
    <s v="0083556266"/>
    <m/>
    <s v="Reabierto"/>
    <s v="3RO SEAT IBIZA ROJO"/>
    <s v="BAJA CALIFORNIA"/>
    <x v="0"/>
    <s v="15:35"/>
    <s v="DIEGO RIVERA 1511"/>
    <d v="2018-07-28T00:00:00"/>
    <x v="0"/>
    <n v="33"/>
    <s v="TERCERO"/>
    <x v="12"/>
    <x v="2"/>
    <x v="8"/>
    <m/>
    <x v="9"/>
    <m/>
  </r>
  <r>
    <s v="00000264967381"/>
    <s v="1"/>
    <s v="36868"/>
    <n v="0"/>
    <n v="424.78"/>
    <n v="0"/>
    <n v="0"/>
    <n v="0"/>
    <n v="0"/>
    <n v="0"/>
    <n v="0"/>
    <n v="0"/>
    <n v="0"/>
    <n v="0"/>
    <n v="0"/>
    <n v="0"/>
    <n v="0"/>
    <n v="0"/>
    <n v="0"/>
    <s v="20180922"/>
    <s v="G.N.P. ARRENDAMIENTO Y ADMINISTRACION DE FLOTILLAS"/>
    <s v="3G1TB5CF3HL163379"/>
    <n v="20171231"/>
    <n v="20181230"/>
    <m/>
    <s v="60250"/>
    <s v="Vigente"/>
    <s v="00000264753815"/>
    <s v="JALISCO"/>
    <n v="2017"/>
    <s v="Privado"/>
    <s v="AVEO &quot;F&quot; STD EE ABS A.AC. MP3 B/A 4P"/>
    <s v="0083775197"/>
    <s v="OSCAR SILVA MENDOZA"/>
    <s v="Terminado"/>
    <s v="3RO DODGE JOURNEY GRIS"/>
    <s v="JALISCO"/>
    <x v="0"/>
    <s v="20:14"/>
    <s v="AQUILES CERDAN"/>
    <d v="2018-08-04T00:00:00"/>
    <x v="0"/>
    <n v="33"/>
    <s v="TERCERO"/>
    <x v="13"/>
    <x v="2"/>
    <x v="8"/>
    <m/>
    <x v="9"/>
    <s v="OSCAR SILVA MENDOZA"/>
  </r>
  <r>
    <s v="00000264967415"/>
    <s v="1"/>
    <s v="36868"/>
    <n v="7882.55"/>
    <n v="1948.98"/>
    <n v="7882.55"/>
    <n v="7882.55"/>
    <n v="0"/>
    <n v="-1788.45"/>
    <n v="0"/>
    <n v="-15658"/>
    <n v="0"/>
    <n v="3735"/>
    <n v="-13711.45"/>
    <n v="0"/>
    <n v="0"/>
    <n v="0"/>
    <n v="0"/>
    <n v="0"/>
    <s v="20180124"/>
    <s v="G.N.P. ARRENDAMIENTO Y ADMINISTRACION DE FLOTILLAS"/>
    <s v="3G1TB5CF3HL165164"/>
    <n v="20171231"/>
    <n v="20181230"/>
    <m/>
    <s v="60250"/>
    <s v="Vigente"/>
    <s v="00000264756040"/>
    <s v="DISTRITO FEDERAL"/>
    <n v="2016"/>
    <s v="Privado"/>
    <s v="HONDA"/>
    <s v="0083797134"/>
    <s v="ROBERTO ALVAREZ SANCHEZ"/>
    <s v="Terminado"/>
    <s v="VS CMAIONETA"/>
    <s v="Distrito Federal"/>
    <x v="0"/>
    <s v="11:28"/>
    <s v="DIVISIOND EL NORTE 3710"/>
    <d v="2018-08-06T00:00:00"/>
    <x v="0"/>
    <n v="33"/>
    <s v="TERCERO"/>
    <x v="13"/>
    <x v="2"/>
    <x v="8"/>
    <m/>
    <x v="9"/>
    <s v="ROBERTO ALVAREZ SANCHEZ"/>
  </r>
  <r>
    <s v="00000264967415"/>
    <s v="1"/>
    <s v="36868"/>
    <n v="0"/>
    <n v="1320.98"/>
    <n v="0"/>
    <n v="0"/>
    <n v="2389.77"/>
    <n v="653.82000000000005"/>
    <n v="0"/>
    <n v="0"/>
    <n v="0"/>
    <n v="1969"/>
    <n v="5012.59"/>
    <n v="2389.77"/>
    <n v="0"/>
    <n v="0"/>
    <n v="0"/>
    <n v="0"/>
    <s v="20181008"/>
    <s v="G.N.P. ARRENDAMIENTO Y ADMINISTRACION DE FLOTILLAS"/>
    <s v="3G1TB5CF3HL165164"/>
    <n v="20171231"/>
    <n v="20181230"/>
    <m/>
    <s v="60250"/>
    <s v="Vigente"/>
    <s v="00000264753815"/>
    <s v="NUEVO LEON"/>
    <n v="2017"/>
    <s v="Privado"/>
    <s v="AVEO &quot;F&quot; STD EE ABS A.AC. MP3 B/A 4P"/>
    <s v="0083813717"/>
    <s v="JOEL ANTONIO CAZARES SANCHEZ"/>
    <s v="Reabierto"/>
    <s v="3RO AVEO BLANCO"/>
    <s v="NUEVO LEON"/>
    <x v="0"/>
    <s v="16:43"/>
    <s v="CHURUBUSCO"/>
    <d v="2018-08-06T00:00:00"/>
    <x v="5"/>
    <n v="33"/>
    <s v="TERCERO"/>
    <x v="13"/>
    <x v="2"/>
    <x v="8"/>
    <m/>
    <x v="9"/>
    <s v="JOEL ANTONIO CAZARES SANCHEZ"/>
  </r>
  <r>
    <s v="00000264967464"/>
    <s v="1"/>
    <s v="36868"/>
    <n v="0"/>
    <n v="1320.98"/>
    <n v="0"/>
    <n v="0"/>
    <n v="0"/>
    <n v="-2348.6999999999998"/>
    <n v="0"/>
    <n v="-15658"/>
    <n v="0"/>
    <n v="0"/>
    <n v="-18006.7"/>
    <n v="0"/>
    <n v="0"/>
    <n v="0"/>
    <n v="0"/>
    <n v="0"/>
    <s v="20180927"/>
    <s v="G.N.P. ARRENDAMIENTO Y ADMINISTRACION DE FLOTILLAS"/>
    <s v="3G1TB5CF3HL166041"/>
    <n v="20171231"/>
    <n v="20181230"/>
    <m/>
    <s v="60250"/>
    <s v="Vigente"/>
    <s v="00000264753815"/>
    <s v="TAMAULIPAS"/>
    <n v="2016"/>
    <s v="Privado"/>
    <s v="AVEO &quot;F&quot; STD EE ABS A.AC. MP3 B/A 4P"/>
    <s v="0083845396"/>
    <s v="JOSE LUIS VAZQUEZ JUAREZ"/>
    <s v="Pendiente"/>
    <s v="NISSAN ESTAQUITAS"/>
    <s v="TAMAULIPAS"/>
    <x v="0"/>
    <s v="15:14"/>
    <s v="CENTRAL"/>
    <d v="2018-08-07T00:00:00"/>
    <x v="0"/>
    <n v="33"/>
    <s v="ASEGURADO"/>
    <x v="13"/>
    <x v="2"/>
    <x v="8"/>
    <m/>
    <x v="9"/>
    <s v="JOSE LUIS VAZQUEZ JUAREZ"/>
  </r>
  <r>
    <s v="00000264967514"/>
    <s v="1"/>
    <s v="36868"/>
    <n v="0"/>
    <n v="649.66"/>
    <n v="0"/>
    <n v="0"/>
    <n v="3250"/>
    <n v="487.5"/>
    <n v="0"/>
    <n v="0"/>
    <n v="0"/>
    <n v="0"/>
    <n v="3737.5"/>
    <n v="0"/>
    <n v="0"/>
    <n v="0"/>
    <n v="3250"/>
    <n v="0"/>
    <s v="20181220"/>
    <s v="G.N.P. ARRENDAMIENTO Y ADMINISTRACION DE FLOTILLAS"/>
    <s v="3G1TB5CF4HL162919"/>
    <n v="20171231"/>
    <n v="20181230"/>
    <m/>
    <s v="60250"/>
    <s v="Vigente"/>
    <s v="00000264753815"/>
    <s v="CHIHUAHUA"/>
    <n v="2016"/>
    <s v="Privado"/>
    <s v="AVEO &quot;F&quot; STD EE ABS A.AC. MP3 B/A 4P"/>
    <s v="0083892885"/>
    <s v="VALENTINO MOTA VILLA"/>
    <s v="Pendiente"/>
    <s v="3RO CAMBRY GRIS"/>
    <s v="Chihuahua"/>
    <x v="0"/>
    <s v="18:41"/>
    <s v="SIMON BOLIVAR"/>
    <d v="2018-08-08T00:00:00"/>
    <x v="0"/>
    <n v="33"/>
    <s v="ASEGURADO"/>
    <x v="13"/>
    <x v="2"/>
    <x v="8"/>
    <m/>
    <x v="9"/>
    <s v="VALENTINO MOTA VILLA"/>
  </r>
  <r>
    <s v="00000264967530"/>
    <s v="1"/>
    <s v="36868"/>
    <n v="0"/>
    <n v="707.44"/>
    <n v="0"/>
    <n v="0"/>
    <n v="6785.83"/>
    <n v="-1532.13"/>
    <n v="0"/>
    <n v="-17000"/>
    <n v="0"/>
    <n v="0"/>
    <n v="-11746.3"/>
    <n v="6785.83"/>
    <n v="0"/>
    <n v="0"/>
    <n v="0"/>
    <n v="0"/>
    <s v="20180523"/>
    <s v="G.N.P. ARRENDAMIENTO Y ADMINISTRACION DE FLOTILLAS"/>
    <s v="3G1TB5CF4HL163567"/>
    <n v="20171231"/>
    <n v="20181230"/>
    <m/>
    <s v="60250"/>
    <s v="Vigente"/>
    <s v="00000264753815"/>
    <s v="NAYARIT"/>
    <n v="2016"/>
    <s v="Privado"/>
    <s v="AVEO &quot;F&quot; STD EE ABS A.AC. MP3 B/A 4P"/>
    <s v="0083872416"/>
    <s v="OMAR ALEJANDRO SALVADOR MONDRAGON"/>
    <s v="Pendiente"/>
    <s v="SI HAY TERCERO FORD RANGER BLANCA"/>
    <s v="JALISCO"/>
    <x v="0"/>
    <s v="11:30"/>
    <s v="AVIACION"/>
    <d v="2018-08-08T00:00:00"/>
    <x v="0"/>
    <n v="33"/>
    <s v="TERCERO"/>
    <x v="13"/>
    <x v="2"/>
    <x v="8"/>
    <m/>
    <x v="9"/>
    <s v="OMAR ALEJANDRO SALVADOR MONDRAGON"/>
  </r>
  <r>
    <s v="00000264967563"/>
    <s v="1"/>
    <s v="36868"/>
    <n v="0"/>
    <n v="1320.98"/>
    <n v="0"/>
    <n v="0"/>
    <n v="2021.9"/>
    <n v="303.29000000000002"/>
    <n v="0"/>
    <n v="0"/>
    <n v="0"/>
    <n v="0"/>
    <n v="2325.19"/>
    <n v="0"/>
    <n v="0"/>
    <n v="0"/>
    <n v="2021.9"/>
    <n v="0"/>
    <s v="20180226"/>
    <s v="G.N.P. ARRENDAMIENTO Y ADMINISTRACION DE FLOTILLAS"/>
    <s v="3G1TB5CF4HL165870"/>
    <n v="20171231"/>
    <n v="20181230"/>
    <m/>
    <s v="60250"/>
    <s v="Vigente"/>
    <s v="00000264756040"/>
    <s v="DISTRITO FEDERAL"/>
    <n v="2018"/>
    <s v="Privado"/>
    <s v="HONDA"/>
    <s v="0083883876"/>
    <s v="HUMBERTO VALENCIA MEJIA"/>
    <s v="Pendiente"/>
    <s v="PIEDRA"/>
    <s v="MORELOS"/>
    <x v="0"/>
    <s v="15:12"/>
    <s v="CUERNAVACA MEXICO"/>
    <d v="2018-08-08T00:00:00"/>
    <x v="0"/>
    <n v="33"/>
    <s v="ASEGURADO"/>
    <x v="13"/>
    <x v="2"/>
    <x v="8"/>
    <m/>
    <x v="9"/>
    <s v="HUMBERTO VALENCIA MEJIA"/>
  </r>
  <r>
    <s v="00000264967589"/>
    <s v="1"/>
    <s v="36868"/>
    <n v="0"/>
    <n v="1294.93"/>
    <n v="0"/>
    <n v="0"/>
    <n v="9553.2000000000007"/>
    <n v="1432.98"/>
    <n v="0"/>
    <n v="0"/>
    <n v="0"/>
    <n v="0"/>
    <n v="10986.18"/>
    <n v="9553.2000000000007"/>
    <n v="0"/>
    <n v="0"/>
    <n v="0"/>
    <n v="0"/>
    <s v="20180709"/>
    <s v="G.N.P. ARRENDAMIENTO Y ADMINISTRACION DE FLOTILLAS"/>
    <s v="3G1TB5CF4HL166114"/>
    <n v="20171231"/>
    <n v="20181230"/>
    <m/>
    <s v="60250"/>
    <s v="Vigente"/>
    <s v="00000264753815"/>
    <s v="CHIHUAHUA"/>
    <n v="2017"/>
    <s v="Privado"/>
    <s v="AVEO &quot;F&quot; STD EE ABS A.AC. MP3 B/A 4P"/>
    <s v="0083939017"/>
    <s v="ALONSO GARCIA TALAMANTES"/>
    <s v="Reabierto"/>
    <s v="SI HAY TERCERO. CHEVROLET CHEVY GUINDA. EL AFECTADO ES UN COMPA.ERO DE GNP"/>
    <s v="Chihuahua"/>
    <x v="0"/>
    <s v="08:30"/>
    <s v="JUAN PABLO SEGUNDO"/>
    <d v="2018-08-10T00:00:00"/>
    <x v="0"/>
    <n v="33"/>
    <s v="TERCERO"/>
    <x v="13"/>
    <x v="2"/>
    <x v="8"/>
    <m/>
    <x v="9"/>
    <s v="ALONSO GARCIA TALAMANTES"/>
  </r>
  <r>
    <s v="00000264967589"/>
    <s v="1"/>
    <s v="36868"/>
    <n v="0"/>
    <n v="647.46"/>
    <n v="0"/>
    <n v="0"/>
    <n v="800"/>
    <n v="120"/>
    <n v="0"/>
    <n v="0"/>
    <n v="0"/>
    <n v="0"/>
    <n v="920"/>
    <n v="0"/>
    <n v="0"/>
    <n v="0"/>
    <n v="800"/>
    <n v="0"/>
    <s v="20181005"/>
    <s v="G.N.P. ARRENDAMIENTO Y ADMINISTRACION DE FLOTILLAS"/>
    <s v="3G1TB5CF4HL166114"/>
    <n v="20171231"/>
    <n v="20181230"/>
    <m/>
    <s v="60250"/>
    <s v="Vigente"/>
    <s v="00000264753815"/>
    <s v="DISTRITO FEDERAL"/>
    <n v="2018"/>
    <s v="Privado"/>
    <s v="AVEO LT SEDAN W STD"/>
    <s v="0083949636"/>
    <s v="DANIEL JIMENEZ ALMARAZ"/>
    <s v="Terminado"/>
    <s v="3ERO. CAMION DE PASAJEROS"/>
    <s v="Distrito Federal"/>
    <x v="0"/>
    <s v="12:32"/>
    <s v="MIGUEL ANGEL DE QUEBEDO"/>
    <d v="2018-08-10T00:00:00"/>
    <x v="0"/>
    <n v="33"/>
    <s v="TERCERO"/>
    <x v="13"/>
    <x v="2"/>
    <x v="8"/>
    <m/>
    <x v="9"/>
    <s v="DANIEL JIMENEZ ALMARAZ"/>
  </r>
  <r>
    <s v="00000264967597"/>
    <s v="1"/>
    <s v="36868"/>
    <n v="0"/>
    <n v="1921.5"/>
    <n v="0"/>
    <n v="0"/>
    <n v="18908"/>
    <n v="2836.2"/>
    <n v="0"/>
    <n v="0"/>
    <n v="0"/>
    <n v="0"/>
    <n v="21744.2"/>
    <n v="0"/>
    <n v="3250"/>
    <n v="0"/>
    <n v="15658"/>
    <n v="0"/>
    <s v="20180606"/>
    <s v="G.N.P. ARRENDAMIENTO Y ADMINISTRACION DE FLOTILLAS"/>
    <s v="3G1TB5CF4HL166128"/>
    <n v="20171231"/>
    <n v="20181230"/>
    <m/>
    <s v="60250"/>
    <s v="Vigente"/>
    <s v="00000264753815"/>
    <s v="JALISCO"/>
    <n v="2016"/>
    <s v="Privado"/>
    <s v="AVEO &quot;F&quot; STD EE ABS A.AC. MP3 B/A 4P"/>
    <s v="0084017375"/>
    <s v="SAUL ALFREDO ESPARZA SERRANO"/>
    <s v="Terminado"/>
    <s v="3RO MUZTANG NEGRO"/>
    <s v="JALISCO"/>
    <x v="0"/>
    <s v="12:23"/>
    <s v="CIRCUMBALACION"/>
    <d v="2018-08-13T00:00:00"/>
    <x v="0"/>
    <n v="33"/>
    <s v="TERCERO"/>
    <x v="13"/>
    <x v="2"/>
    <x v="8"/>
    <m/>
    <x v="9"/>
    <s v="SAUL ALFREDO ESPARZA SERRANO"/>
  </r>
  <r>
    <s v="00000264967605"/>
    <s v="1"/>
    <s v="36868"/>
    <n v="0"/>
    <n v="671.32"/>
    <n v="0"/>
    <n v="0"/>
    <n v="15658"/>
    <n v="2348.6999999999998"/>
    <n v="0"/>
    <n v="0"/>
    <n v="0"/>
    <n v="0"/>
    <n v="18006.7"/>
    <n v="0"/>
    <n v="0"/>
    <n v="0"/>
    <n v="15658"/>
    <n v="0"/>
    <s v="20180706"/>
    <s v="G.N.P. ARRENDAMIENTO Y ADMINISTRACION DE FLOTILLAS"/>
    <s v="3G1TB5CF4HL166193"/>
    <n v="20171231"/>
    <n v="20181230"/>
    <m/>
    <s v="60250"/>
    <s v="Vigente"/>
    <s v="00000264753815"/>
    <s v="CHIHUAHUA"/>
    <n v="2017"/>
    <s v="Privado"/>
    <s v="AVEO &quot;F&quot; STD EE ABS A.AC. MP3 B/A 4P"/>
    <s v="0084043041"/>
    <s v="MARVIN ROJO ORTIZ"/>
    <s v="Terminado"/>
    <s v="3RO MASETERO"/>
    <s v="Chihuahua"/>
    <x v="0"/>
    <s v="21:05"/>
    <s v="PALERMO"/>
    <d v="2018-08-13T00:00:00"/>
    <x v="0"/>
    <n v="33"/>
    <s v="ASEGURADO"/>
    <x v="13"/>
    <x v="2"/>
    <x v="8"/>
    <m/>
    <x v="9"/>
    <s v="MARVIN ROJO ORTIZ"/>
  </r>
  <r>
    <s v="00000264967639"/>
    <s v="1"/>
    <s v="36868"/>
    <n v="0"/>
    <n v="1545.97"/>
    <n v="0"/>
    <n v="0"/>
    <n v="15658"/>
    <n v="2808.7"/>
    <n v="0"/>
    <n v="0"/>
    <n v="0"/>
    <n v="0"/>
    <n v="18466.7"/>
    <n v="0"/>
    <n v="0"/>
    <n v="0"/>
    <n v="15658"/>
    <n v="0"/>
    <s v="20180615"/>
    <s v="G.N.P. ARRENDAMIENTO Y ADMINISTRACION DE FLOTILLAS"/>
    <s v="3G1TB5CF5HL149841"/>
    <n v="20171231"/>
    <n v="20181230"/>
    <m/>
    <s v="60250"/>
    <s v="Vigente"/>
    <s v="00000264753815"/>
    <s v="DISTRITO FEDERAL"/>
    <n v="2018"/>
    <s v="Privado"/>
    <s v="NISSAN MARCH ACTIVE CARGO L4 1.6 ABS STD"/>
    <s v="0084088541"/>
    <s v="ENRIQUE BENITO NAVARRO GORDILLO"/>
    <s v="Reabierto"/>
    <s v="AJUSTADOR EN SITIO PARA CRISTAL"/>
    <s v="Distrito Federal"/>
    <x v="5"/>
    <s v="10:49"/>
    <s v="AMORES 712"/>
    <d v="2018-08-15T00:00:00"/>
    <x v="0"/>
    <n v="33"/>
    <s v="TERCERO"/>
    <x v="13"/>
    <x v="2"/>
    <x v="8"/>
    <m/>
    <x v="9"/>
    <s v="ENRIQUE BENITO NAVARRO GORDILLO"/>
  </r>
  <r>
    <s v="00000264967639"/>
    <s v="1"/>
    <s v="36868"/>
    <n v="0"/>
    <n v="760.31"/>
    <n v="0"/>
    <n v="0"/>
    <n v="8243.2800000000007"/>
    <n v="1696.49"/>
    <n v="0"/>
    <n v="0"/>
    <n v="0"/>
    <n v="0"/>
    <n v="9939.77"/>
    <n v="8243.2800000000007"/>
    <n v="0"/>
    <n v="0"/>
    <n v="0"/>
    <n v="0"/>
    <s v="20181105"/>
    <s v="G.N.P. ARRENDAMIENTO Y ADMINISTRACION DE FLOTILLAS"/>
    <s v="3G1TB5CF5HL149841"/>
    <n v="20171231"/>
    <n v="20181230"/>
    <m/>
    <s v="60250"/>
    <s v="Vigente"/>
    <s v="00000264753815"/>
    <s v="JALISCO"/>
    <n v="2016"/>
    <s v="Privado"/>
    <s v="AVEO &quot;F&quot; STD EE ABS A.AC. MP3 B/A 4P"/>
    <s v="0084232958"/>
    <s v="DANIELA MARTINEZ TELLO"/>
    <s v="Pendiente"/>
    <s v="3RO CAMIONETA CRETA"/>
    <s v="JALISCO"/>
    <x v="0"/>
    <s v="11:15"/>
    <s v="LAZARO CARDENAS"/>
    <d v="2018-08-20T00:00:00"/>
    <x v="0"/>
    <n v="33"/>
    <s v="ASEGURADO"/>
    <x v="13"/>
    <x v="2"/>
    <x v="8"/>
    <m/>
    <x v="9"/>
    <s v="DANIELA MARTINEZ TELLO"/>
  </r>
  <r>
    <s v="00000264967654"/>
    <s v="1"/>
    <s v="36868"/>
    <n v="0"/>
    <n v="841.93"/>
    <n v="0"/>
    <n v="0"/>
    <n v="15658"/>
    <n v="2348.6999999999998"/>
    <n v="0"/>
    <n v="0"/>
    <n v="0"/>
    <n v="0"/>
    <n v="18006.7"/>
    <n v="0"/>
    <n v="0"/>
    <n v="0"/>
    <n v="15658"/>
    <n v="0"/>
    <s v="20180410"/>
    <s v="G.N.P. ARRENDAMIENTO Y ADMINISTRACION DE FLOTILLAS"/>
    <s v="3G1TB5CF5HL150780"/>
    <n v="20171231"/>
    <n v="20181230"/>
    <m/>
    <s v="60250"/>
    <s v="Vigente"/>
    <s v="00000264753815"/>
    <s v="NUEVO LEON"/>
    <n v="2017"/>
    <s v="Privado"/>
    <s v="AVEO &quot;F&quot; STD EE ABS A.AC. MP3 B/A 4P"/>
    <s v="0084224575"/>
    <m/>
    <s v="Pendiente"/>
    <s v="3RO TSURU"/>
    <s v="NUEVO LEON"/>
    <x v="0"/>
    <s v="00:46"/>
    <s v="AGUAFRIA"/>
    <d v="2018-08-20T00:00:00"/>
    <x v="0"/>
    <n v="33"/>
    <m/>
    <x v="13"/>
    <x v="2"/>
    <x v="8"/>
    <m/>
    <x v="9"/>
    <m/>
  </r>
  <r>
    <s v="00000264967696"/>
    <s v="1"/>
    <s v="36868"/>
    <n v="0"/>
    <n v="1222.05"/>
    <n v="0"/>
    <n v="0"/>
    <n v="9173.43"/>
    <n v="-972.69"/>
    <n v="0"/>
    <n v="-15658"/>
    <n v="0"/>
    <n v="0"/>
    <n v="-7457.26"/>
    <n v="9173.43"/>
    <n v="0"/>
    <n v="0"/>
    <n v="0"/>
    <n v="0"/>
    <s v="20180911"/>
    <s v="G.N.P. ARRENDAMIENTO Y ADMINISTRACION DE FLOTILLAS"/>
    <s v="3G1TB5CF5HL163190"/>
    <n v="20171231"/>
    <n v="20181230"/>
    <m/>
    <s v="60250"/>
    <s v="Vigente"/>
    <s v="00000264753815"/>
    <s v="NUEVO LEON"/>
    <n v="2017"/>
    <s v="Privado"/>
    <s v="AVEO &quot;F&quot; STD EE ABS A.AC. MP3 B/A 4P"/>
    <s v="0084231414"/>
    <s v="HUGO DONALDO SUAREZ DIAZ"/>
    <s v="Terminado"/>
    <s v="AJUSTA 1235 LO CHOCAN HOND ACORD"/>
    <s v="NUEVO LEON"/>
    <x v="0"/>
    <s v="10:37"/>
    <m/>
    <d v="2018-08-20T00:00:00"/>
    <x v="0"/>
    <n v="33"/>
    <m/>
    <x v="13"/>
    <x v="2"/>
    <x v="8"/>
    <m/>
    <x v="9"/>
    <s v="HUGO DONALDO SUAREZ DIAZ"/>
  </r>
  <r>
    <s v="00000264967704"/>
    <s v="1"/>
    <s v="36868"/>
    <n v="0"/>
    <n v="1312.9"/>
    <n v="0"/>
    <n v="0"/>
    <n v="18101.86"/>
    <n v="964.73"/>
    <n v="0"/>
    <n v="-15658"/>
    <n v="0"/>
    <n v="1534.32"/>
    <n v="4942.91"/>
    <n v="7801.86"/>
    <n v="10300"/>
    <n v="0"/>
    <n v="0"/>
    <n v="0"/>
    <s v="20180921"/>
    <s v="G.N.P. ARRENDAMIENTO Y ADMINISTRACION DE FLOTILLAS"/>
    <s v="3G1TB5CF5HL163402"/>
    <n v="20171231"/>
    <n v="20181230"/>
    <m/>
    <s v="60250"/>
    <s v="Vigente"/>
    <s v="00000264753815"/>
    <s v="NUEVO LEON"/>
    <n v="2017"/>
    <s v="Privado"/>
    <s v="AVEO &quot;F&quot; STD EE ABS A.AC. MP3 B/A 4P"/>
    <s v="0084285535"/>
    <s v="GERARDO MATA LOZANO"/>
    <s v="Reabierto"/>
    <s v="3ERO ATTITUDE GRIS AJUSTADOR GERARDO MATA 1212"/>
    <s v="NUEVO LEON"/>
    <x v="0"/>
    <s v="15:11"/>
    <s v="MIGUEL ALEMAN"/>
    <d v="2018-08-21T00:00:00"/>
    <x v="0"/>
    <n v="33"/>
    <s v="TERCERO"/>
    <x v="13"/>
    <x v="2"/>
    <x v="8"/>
    <m/>
    <x v="9"/>
    <s v="GERARDO MATA LOZANO"/>
  </r>
  <r>
    <s v="00000264967712"/>
    <s v="1"/>
    <s v="36868"/>
    <n v="0"/>
    <n v="863.73"/>
    <n v="0"/>
    <n v="0"/>
    <n v="0"/>
    <n v="0"/>
    <n v="0"/>
    <n v="0"/>
    <n v="0"/>
    <n v="0"/>
    <n v="0"/>
    <n v="0"/>
    <n v="0"/>
    <n v="0"/>
    <n v="0"/>
    <n v="0"/>
    <s v="20180105"/>
    <s v="G.N.P. ARRENDAMIENTO Y ADMINISTRACION DE FLOTILLAS"/>
    <s v="3G1TB5CF5HL164047"/>
    <n v="20171231"/>
    <n v="20181230"/>
    <m/>
    <s v="60250"/>
    <s v="Vigente"/>
    <s v="00000264753815"/>
    <s v="DISTRITO FEDERAL"/>
    <n v="2018"/>
    <s v="Privado"/>
    <s v="AVEO LT SEDAN W STD"/>
    <s v="0084290907"/>
    <s v="DIEGO GONZALEZ POLO MU#OZ"/>
    <s v="Terminado"/>
    <s v="3RO EN LUGAR HONDA GRIS"/>
    <s v="Mexico"/>
    <x v="0"/>
    <s v="16:40"/>
    <s v="PERIFERICO LATERAL A SATELITE"/>
    <d v="2018-08-21T00:00:00"/>
    <x v="0"/>
    <n v="33"/>
    <s v="ASEGURADO"/>
    <x v="13"/>
    <x v="2"/>
    <x v="8"/>
    <m/>
    <x v="9"/>
    <s v="DIEGO GONZALEZ POLO MU#OZ"/>
  </r>
  <r>
    <s v="00000264967712"/>
    <s v="1"/>
    <s v="36868"/>
    <n v="0"/>
    <n v="1713.3"/>
    <n v="0"/>
    <n v="0"/>
    <n v="15658"/>
    <n v="8159.26"/>
    <n v="0"/>
    <n v="-6496.25"/>
    <n v="1"/>
    <n v="1"/>
    <n v="17321.009999999998"/>
    <n v="0"/>
    <n v="0"/>
    <n v="0"/>
    <n v="15658"/>
    <n v="0"/>
    <s v="20180806"/>
    <s v="G.N.P. ARRENDAMIENTO Y ADMINISTRACION DE FLOTILLAS"/>
    <s v="3G1TB5CF5HL164047"/>
    <n v="20171231"/>
    <n v="20181230"/>
    <m/>
    <s v="60250"/>
    <s v="Vigente"/>
    <s v="00000264753815"/>
    <s v="DISTRITO FEDERAL"/>
    <n v="2018"/>
    <s v="Privado"/>
    <s v="AVEO LT SEDAN W STD"/>
    <s v="0084287267"/>
    <m/>
    <s v="Pendiente"/>
    <s v="3RO RAM GRIS"/>
    <s v="SONORA"/>
    <x v="0"/>
    <s v="15:43"/>
    <s v="JUAREZ"/>
    <d v="2018-08-21T00:00:00"/>
    <x v="0"/>
    <n v="33"/>
    <m/>
    <x v="13"/>
    <x v="2"/>
    <x v="8"/>
    <m/>
    <x v="9"/>
    <m/>
  </r>
  <r>
    <s v="00000264967746"/>
    <s v="1"/>
    <s v="36868"/>
    <n v="0"/>
    <n v="3313.28"/>
    <n v="0"/>
    <n v="0"/>
    <n v="33472.129999999997"/>
    <n v="3155.12"/>
    <n v="0"/>
    <n v="-15658"/>
    <n v="0"/>
    <n v="0"/>
    <n v="20969.25"/>
    <n v="33472.129999999997"/>
    <n v="0"/>
    <n v="0"/>
    <n v="0"/>
    <n v="0"/>
    <s v="20180324"/>
    <s v="G.N.P. ARRENDAMIENTO Y ADMINISTRACION DE FLOTILLAS"/>
    <s v="3G1TB5CF5HL165215"/>
    <n v="20171231"/>
    <n v="20181230"/>
    <m/>
    <s v="60250"/>
    <s v="Vigente"/>
    <s v="00000264753815"/>
    <s v="DISTRITO FEDERAL"/>
    <n v="2016"/>
    <s v="Privado"/>
    <s v="AVEO &quot;F&quot; STD EE ABS A.AC. MP3 B/A 4P"/>
    <s v="0084374776"/>
    <s v="MARCO ANTONIO FLORES BAEZ"/>
    <s v="Terminado"/>
    <s v="3RO FIESTA AZUL"/>
    <s v="Distrito Federal"/>
    <x v="0"/>
    <s v="19:01"/>
    <s v="ALVARO OBREGON"/>
    <d v="2018-08-23T00:00:00"/>
    <x v="0"/>
    <n v="33"/>
    <s v="ASEGURADO"/>
    <x v="13"/>
    <x v="2"/>
    <x v="8"/>
    <m/>
    <x v="9"/>
    <s v="MARCO ANTONIO FLORES BAEZ"/>
  </r>
  <r>
    <s v="00000264967811"/>
    <s v="1"/>
    <s v="36868"/>
    <n v="0"/>
    <n v="3560.25"/>
    <n v="0"/>
    <n v="0"/>
    <n v="4453.1899999999996"/>
    <n v="-1680.72"/>
    <n v="0"/>
    <n v="-15658"/>
    <n v="0"/>
    <n v="0"/>
    <n v="-12885.53"/>
    <n v="4453.1899999999996"/>
    <n v="0"/>
    <n v="0"/>
    <n v="0"/>
    <n v="0"/>
    <s v="20180508"/>
    <s v="G.N.P. ARRENDAMIENTO Y ADMINISTRACION DE FLOTILLAS"/>
    <s v="3G1TB5CF5HL166218"/>
    <n v="20171231"/>
    <n v="20181230"/>
    <m/>
    <s v="60250"/>
    <s v="Vigente"/>
    <s v="00000264753815"/>
    <s v="DISTRITO FEDERAL"/>
    <n v="2018"/>
    <s v="Privado"/>
    <s v="AVEO LT SEDAN W STD"/>
    <s v="0084375658"/>
    <s v="LEONARDO ALVARADO OLVERA"/>
    <s v="Pendiente"/>
    <s v="NA CUENTA CON SEPAC"/>
    <s v="Distrito Federal"/>
    <x v="0"/>
    <s v="19:25"/>
    <s v="CARDENALES"/>
    <d v="2018-08-23T00:00:00"/>
    <x v="0"/>
    <n v="33"/>
    <m/>
    <x v="13"/>
    <x v="2"/>
    <x v="8"/>
    <m/>
    <x v="9"/>
    <s v="LEONARDO ALVARADO OLVERA"/>
  </r>
  <r>
    <s v="00000264967829"/>
    <s v="1"/>
    <s v="36868"/>
    <n v="0"/>
    <n v="855.74"/>
    <n v="0"/>
    <n v="0"/>
    <n v="7407.95"/>
    <n v="1111.19"/>
    <n v="0"/>
    <n v="0"/>
    <n v="0"/>
    <n v="0"/>
    <n v="8519.14"/>
    <n v="0"/>
    <n v="0"/>
    <n v="0"/>
    <n v="7407.95"/>
    <n v="0"/>
    <s v="20180507"/>
    <s v="G.N.P. ARRENDAMIENTO Y ADMINISTRACION DE FLOTILLAS"/>
    <s v="3G1TB5CF6HL150173"/>
    <n v="20171231"/>
    <n v="20181230"/>
    <m/>
    <s v="60250"/>
    <s v="Vigente"/>
    <s v="00000264753815"/>
    <s v="DISTRITO FEDERAL"/>
    <n v="2018"/>
    <s v="Privado"/>
    <s v="AVEO LT SEDAN W STD"/>
    <s v="0084369263"/>
    <s v="MARCO ANTONIO ELIZALDE CARDENAS"/>
    <s v="Terminado"/>
    <s v="3RO BEAT AZUL"/>
    <s v="Distrito Federal"/>
    <x v="0"/>
    <s v="17:01"/>
    <s v="EJE MORELOS"/>
    <d v="2018-08-23T00:00:00"/>
    <x v="0"/>
    <n v="33"/>
    <s v="ASEGURADO"/>
    <x v="13"/>
    <x v="2"/>
    <x v="8"/>
    <m/>
    <x v="9"/>
    <s v="MARCO ANTONIO ELIZALDE CARDENAS"/>
  </r>
  <r>
    <s v="00000264967837"/>
    <s v="1"/>
    <s v="36868"/>
    <n v="0"/>
    <n v="698.89"/>
    <n v="0"/>
    <n v="0"/>
    <n v="0"/>
    <n v="0"/>
    <n v="0"/>
    <n v="0"/>
    <n v="0"/>
    <n v="0"/>
    <n v="0"/>
    <n v="0"/>
    <n v="0"/>
    <n v="0"/>
    <n v="0"/>
    <n v="0"/>
    <s v="20180928"/>
    <s v="G.N.P. ARRENDAMIENTO Y ADMINISTRACION DE FLOTILLAS"/>
    <s v="3G1TB5CF6HL150836"/>
    <n v="20171231"/>
    <n v="20181230"/>
    <m/>
    <s v="60250"/>
    <s v="Vigente"/>
    <s v="00000264753815"/>
    <s v="DISTRITO FEDERAL"/>
    <n v="2018"/>
    <s v="Privado"/>
    <s v="AVEO LT SEDAN W STD"/>
    <s v="0084500776"/>
    <s v="MARIO ALBERTO MONTA#EZ ESPINOSA"/>
    <s v="Pendiente"/>
    <s v="HAY 3RO CROS FROX NARANJA"/>
    <s v="Distrito Federal"/>
    <x v="0"/>
    <s v="11:06"/>
    <s v="FEDERAL A CUERNAVACA"/>
    <d v="2018-08-28T00:00:00"/>
    <x v="0"/>
    <n v="33"/>
    <s v="TERCERO"/>
    <x v="13"/>
    <x v="2"/>
    <x v="8"/>
    <m/>
    <x v="9"/>
    <s v="MARIO ALBERTO MONTA#EZ ESPINOSA"/>
  </r>
  <r>
    <s v="00000264967860"/>
    <s v="1"/>
    <s v="36868"/>
    <n v="0"/>
    <n v="600.98"/>
    <n v="0"/>
    <n v="0"/>
    <n v="0"/>
    <n v="2126.83"/>
    <n v="0"/>
    <n v="0"/>
    <n v="0"/>
    <n v="14178.84"/>
    <n v="16305.67"/>
    <n v="0"/>
    <n v="0"/>
    <n v="0"/>
    <n v="0"/>
    <n v="0"/>
    <s v="20181214"/>
    <s v="G.N.P. ARRENDAMIENTO Y ADMINISTRACION DE FLOTILLAS"/>
    <s v="3G1TB5CF6HL163618"/>
    <n v="20171231"/>
    <n v="20181230"/>
    <m/>
    <s v="60250"/>
    <s v="Vigente"/>
    <s v="00000264753815"/>
    <s v="DISTRITO FEDERAL"/>
    <n v="2018"/>
    <s v="Privado"/>
    <s v="AVEO LT SEDAN W STD"/>
    <s v="0084525419"/>
    <s v="MARCO ANTONIO ELIZALDE CARDENAS"/>
    <s v="Pendiente"/>
    <s v="ATROPELLAMIENTO"/>
    <s v="Mexico"/>
    <x v="6"/>
    <s v="19:51"/>
    <s v="ACUEDUCTO DE TENAYUCA"/>
    <d v="2018-08-28T00:00:00"/>
    <x v="0"/>
    <n v="33"/>
    <s v="ASEGURADO"/>
    <x v="13"/>
    <x v="2"/>
    <x v="8"/>
    <m/>
    <x v="9"/>
    <s v="MARCO ANTONIO ELIZALDE CARDENAS"/>
  </r>
  <r>
    <s v="00000264967878"/>
    <s v="1"/>
    <s v="36868"/>
    <n v="0"/>
    <n v="2255.59"/>
    <n v="0"/>
    <n v="0"/>
    <n v="81940.5"/>
    <n v="12291.08"/>
    <n v="0"/>
    <n v="0"/>
    <n v="0"/>
    <n v="0"/>
    <n v="94231.58"/>
    <n v="81940.5"/>
    <n v="0"/>
    <n v="0"/>
    <n v="0"/>
    <n v="0"/>
    <s v="20180530"/>
    <s v="G.N.P. ARRENDAMIENTO Y ADMINISTRACION DE FLOTILLAS"/>
    <s v="3G1TB5CF6HL163845"/>
    <n v="20171231"/>
    <n v="20181230"/>
    <m/>
    <s v="60250"/>
    <s v="Vigente"/>
    <s v="00000264753815"/>
    <s v="DISTRITO FEDERAL"/>
    <n v="2018"/>
    <s v="Privado"/>
    <s v="AVEO LT SEDAN W STD"/>
    <s v="0084537836"/>
    <s v="DAMARIS ANAHI IBARRA ALVARADO"/>
    <s v="Terminado"/>
    <s v="DA.OS EN TUBERIA DE EDIFICIO POR LLUVIA Y TUBERIA CAE AVEO"/>
    <s v="GUANAJUATO"/>
    <x v="7"/>
    <s v="10:26"/>
    <s v="BLVD INSURGENTES 3356"/>
    <d v="2018-08-29T00:00:00"/>
    <x v="0"/>
    <n v="33"/>
    <m/>
    <x v="13"/>
    <x v="2"/>
    <x v="8"/>
    <m/>
    <x v="9"/>
    <s v="DAMARIS ANAHI IBARRA ALVARADO"/>
  </r>
  <r>
    <s v="00000264967886"/>
    <s v="1"/>
    <s v="36868"/>
    <n v="0"/>
    <n v="1274.04"/>
    <n v="0"/>
    <n v="0"/>
    <n v="3386.43"/>
    <n v="507.96"/>
    <n v="0"/>
    <n v="0"/>
    <n v="0"/>
    <n v="0"/>
    <n v="3894.39"/>
    <n v="0"/>
    <n v="0"/>
    <n v="0"/>
    <n v="3386.43"/>
    <n v="0"/>
    <s v="20180509"/>
    <s v="G.N.P. ARRENDAMIENTO Y ADMINISTRACION DE FLOTILLAS"/>
    <s v="3G1TB5CF6HL164199"/>
    <n v="20171231"/>
    <n v="20181230"/>
    <m/>
    <s v="60250"/>
    <s v="Vigente"/>
    <s v="00000264753815"/>
    <s v="DISTRITO FEDERAL"/>
    <n v="2017"/>
    <s v="Privado"/>
    <s v="AVEO &quot;F&quot; STD EE ABS A.AC. MP3 B/A 4P"/>
    <s v="0084717560"/>
    <s v="CHRISTIAN AGUIRRE MIRANDA"/>
    <s v="Pendiente"/>
    <s v="3RO SPARK ROJO"/>
    <s v="Distrito Federal"/>
    <x v="0"/>
    <s v="09:06"/>
    <s v="CANAL DE MIRAMONTES 1498"/>
    <d v="2018-09-04T00:00:00"/>
    <x v="0"/>
    <n v="33"/>
    <s v="TERCERO"/>
    <x v="14"/>
    <x v="2"/>
    <x v="8"/>
    <m/>
    <x v="9"/>
    <s v="CHRISTIAN AGUIRRE MIRANDA"/>
  </r>
  <r>
    <s v="00000264967902"/>
    <s v="1"/>
    <s v="36868"/>
    <n v="0"/>
    <n v="484.11"/>
    <n v="0"/>
    <n v="0"/>
    <n v="0"/>
    <n v="580.41999999999996"/>
    <n v="0"/>
    <n v="0"/>
    <n v="0"/>
    <n v="3869.46"/>
    <n v="4449.88"/>
    <n v="0"/>
    <n v="0"/>
    <n v="0"/>
    <n v="0"/>
    <n v="0"/>
    <s v="20181016"/>
    <s v="G.N.P. ARRENDAMIENTO Y ADMINISTRACION DE FLOTILLAS"/>
    <s v="3G1TB5CF6HL165062"/>
    <n v="20171231"/>
    <n v="20181230"/>
    <m/>
    <s v="60250"/>
    <s v="Vigente"/>
    <s v="00000264753815"/>
    <s v="NUEVO LEON"/>
    <n v="2017"/>
    <s v="Privado"/>
    <s v="AVEO &quot;F&quot; STD EE ABS A.AC. MP3 B/A 4P"/>
    <s v="0084757491"/>
    <s v="JOEL GUADALUPE MIRANDA HERNANDEZ"/>
    <s v="Pendiente"/>
    <s v="3RO HONDA CRV ROJO"/>
    <s v="NUEVO LEON"/>
    <x v="0"/>
    <s v="09:50"/>
    <s v="A LAREDO"/>
    <d v="2018-09-05T00:00:00"/>
    <x v="0"/>
    <n v="33"/>
    <s v="ASEGURADO"/>
    <x v="14"/>
    <x v="2"/>
    <x v="8"/>
    <m/>
    <x v="9"/>
    <s v="JOEL GUADALUPE MIRANDA HERNANDEZ"/>
  </r>
  <r>
    <s v="00000264967951"/>
    <s v="1"/>
    <s v="36868"/>
    <n v="0"/>
    <n v="647.46"/>
    <n v="0"/>
    <n v="0"/>
    <n v="0"/>
    <n v="950.32"/>
    <n v="0"/>
    <n v="0"/>
    <n v="0"/>
    <n v="6335.48"/>
    <n v="7285.8"/>
    <n v="0"/>
    <n v="0"/>
    <n v="0"/>
    <n v="0"/>
    <n v="0"/>
    <s v="20180530"/>
    <s v="G.N.P. ARRENDAMIENTO Y ADMINISTRACION DE FLOTILLAS"/>
    <s v="3G1TB5CF6HL166003"/>
    <n v="20171231"/>
    <n v="20181230"/>
    <m/>
    <s v="60250"/>
    <s v="Vigente"/>
    <s v="00000264753815"/>
    <s v="SINALOA"/>
    <n v="2017"/>
    <s v="Privado"/>
    <s v="AVEO &quot;F&quot; STD EE ABS A.AC. MP3 B/A 4P"/>
    <s v="0084754795"/>
    <s v="FELIX MANUEL MARQUEZ NORIEGA"/>
    <s v="Pendiente"/>
    <s v="3RO NISSAN BLANCA"/>
    <s v="Sinaloa"/>
    <x v="0"/>
    <s v="08:41"/>
    <s v="FELIX CASTRO"/>
    <d v="2018-09-05T00:00:00"/>
    <x v="0"/>
    <n v="33"/>
    <s v="TERCERO"/>
    <x v="14"/>
    <x v="2"/>
    <x v="8"/>
    <m/>
    <x v="9"/>
    <s v="FELIX MANUEL MARQUEZ NORIEGA"/>
  </r>
  <r>
    <s v="00000264967951"/>
    <s v="1"/>
    <s v="36868"/>
    <n v="0"/>
    <n v="1921.5"/>
    <n v="0"/>
    <n v="0"/>
    <n v="2650"/>
    <n v="397.5"/>
    <n v="0"/>
    <n v="0"/>
    <n v="0"/>
    <n v="0"/>
    <n v="3047.5"/>
    <n v="0"/>
    <n v="0"/>
    <n v="0"/>
    <n v="2650"/>
    <n v="0"/>
    <s v="20180614"/>
    <s v="G.N.P. ARRENDAMIENTO Y ADMINISTRACION DE FLOTILLAS"/>
    <s v="3G1TB5CF6HL166003"/>
    <n v="20171231"/>
    <n v="20181230"/>
    <m/>
    <s v="60250"/>
    <s v="Vigente"/>
    <s v="00000264753815"/>
    <s v="DISTRITO FEDERAL"/>
    <n v="2018"/>
    <s v="Privado"/>
    <s v="AVEO LT SEDAN W STD"/>
    <s v="0084816339"/>
    <m/>
    <s v="Terminado"/>
    <s v="CR PARABRISAS"/>
    <s v="JALISCO"/>
    <x v="1"/>
    <s v="16:30"/>
    <s v="AUTOAJUSTE"/>
    <d v="2018-09-06T00:00:00"/>
    <x v="0"/>
    <n v="33"/>
    <m/>
    <x v="14"/>
    <x v="2"/>
    <x v="8"/>
    <m/>
    <x v="9"/>
    <m/>
  </r>
  <r>
    <s v="00000264967969"/>
    <s v="1"/>
    <s v="36868"/>
    <n v="0"/>
    <n v="1495.28"/>
    <n v="9225.15"/>
    <n v="9225.15"/>
    <n v="10058.06"/>
    <n v="-839.99"/>
    <n v="0"/>
    <n v="-15658"/>
    <n v="0"/>
    <n v="0"/>
    <n v="-6439.93"/>
    <n v="10058.06"/>
    <n v="0"/>
    <n v="0"/>
    <n v="0"/>
    <n v="0"/>
    <s v="20180124"/>
    <s v="G.N.P. ARRENDAMIENTO Y ADMINISTRACION DE FLOTILLAS"/>
    <s v="3G1TB5CF6HL166566"/>
    <n v="20171231"/>
    <n v="20181230"/>
    <m/>
    <s v="60250"/>
    <s v="Vigente"/>
    <s v="00000264753815"/>
    <s v="CHIHUAHUA"/>
    <n v="2016"/>
    <s v="Privado"/>
    <s v="AVEO &quot;F&quot; STD EE ABS A.AC. MP3 B/A 4P"/>
    <s v="0084843572"/>
    <s v="JORGE ARMANDO RAMIREZ VALLES"/>
    <s v="Reabierto"/>
    <s v="INUNDACION"/>
    <s v="Chihuahua"/>
    <x v="2"/>
    <s v="13:05"/>
    <s v="EMILIO PORTES GIL 578"/>
    <d v="2018-09-07T00:00:00"/>
    <x v="0"/>
    <n v="33"/>
    <m/>
    <x v="14"/>
    <x v="2"/>
    <x v="8"/>
    <m/>
    <x v="9"/>
    <s v="JORGE ARMANDO RAMIREZ VALLES"/>
  </r>
  <r>
    <s v="00000264967969"/>
    <s v="1"/>
    <s v="36868"/>
    <n v="0"/>
    <n v="6944.17"/>
    <n v="0"/>
    <n v="0"/>
    <n v="731609.76"/>
    <n v="138330.23000000001"/>
    <n v="0"/>
    <n v="0"/>
    <n v="1"/>
    <n v="43622.75"/>
    <n v="913561.74"/>
    <n v="0"/>
    <n v="201551.19"/>
    <n v="0"/>
    <n v="530058.56999999995"/>
    <n v="0"/>
    <s v="20180326"/>
    <s v="G.N.P. ARRENDAMIENTO Y ADMINISTRACION DE FLOTILLAS"/>
    <s v="3G1TB5CF6HL166566"/>
    <n v="20171231"/>
    <n v="20181230"/>
    <m/>
    <s v="60250"/>
    <s v="Vigente"/>
    <s v="00000264753815"/>
    <s v="CHIAPAS"/>
    <n v="2016"/>
    <s v="Privado"/>
    <s v="AVEO &quot;F&quot; STD EE ABS A.AC. MP3 B/A 4P"/>
    <s v="0084897990"/>
    <m/>
    <s v="Terminado"/>
    <s v="PARABRISAS"/>
    <s v="CHIAPAS"/>
    <x v="1"/>
    <s v="08:32"/>
    <s v="Quinta Norte Pte No. 1523 Col Moctezuma CP 30700 . ."/>
    <d v="2018-09-10T00:00:00"/>
    <x v="0"/>
    <n v="33"/>
    <m/>
    <x v="14"/>
    <x v="2"/>
    <x v="8"/>
    <m/>
    <x v="9"/>
    <m/>
  </r>
  <r>
    <s v="00000264967993"/>
    <s v="1"/>
    <s v="36868"/>
    <n v="0"/>
    <n v="1274.04"/>
    <n v="0"/>
    <n v="0"/>
    <n v="2105"/>
    <n v="798.75"/>
    <n v="0"/>
    <n v="0"/>
    <n v="0"/>
    <n v="0"/>
    <n v="2903.75"/>
    <n v="0"/>
    <n v="0"/>
    <n v="0"/>
    <n v="2105"/>
    <n v="0"/>
    <s v="20180220"/>
    <s v="G.N.P. ARRENDAMIENTO Y ADMINISTRACION DE FLOTILLAS"/>
    <s v="3G1TB5CF7HL151333"/>
    <n v="20171231"/>
    <n v="20181230"/>
    <m/>
    <s v="60250"/>
    <s v="Vigente"/>
    <s v="00000264753815"/>
    <s v="NUEVO LEON"/>
    <n v="2017"/>
    <s v="Privado"/>
    <s v="AVEO &quot;F&quot; STD EE ABS A.AC. MP3 B/A 4P"/>
    <s v="0084926955"/>
    <s v="OMAR HERNANDEZ VAZQUEZ"/>
    <s v="Terminado"/>
    <s v="COLISIONA CON BACHE"/>
    <s v="Coahuila"/>
    <x v="0"/>
    <s v="18:25"/>
    <s v="GOMEZ MORIN 0"/>
    <d v="2018-09-10T00:00:00"/>
    <x v="0"/>
    <n v="33"/>
    <m/>
    <x v="14"/>
    <x v="2"/>
    <x v="8"/>
    <m/>
    <x v="9"/>
    <s v="OMAR HERNANDEZ VAZQUEZ"/>
  </r>
  <r>
    <s v="00000264968017"/>
    <s v="1"/>
    <s v="36868"/>
    <n v="0"/>
    <n v="672.39"/>
    <n v="0"/>
    <n v="0"/>
    <n v="16479.57"/>
    <n v="1241.94"/>
    <n v="0"/>
    <n v="-8200"/>
    <n v="0"/>
    <n v="0"/>
    <n v="9521.51"/>
    <n v="16479.57"/>
    <n v="0"/>
    <n v="0"/>
    <n v="0"/>
    <n v="0"/>
    <s v="20180118"/>
    <s v="G.N.P. ARRENDAMIENTO Y ADMINISTRACION DE FLOTILLAS"/>
    <s v="3G1TB5CF7HL151980"/>
    <n v="20171231"/>
    <n v="20181230"/>
    <m/>
    <s v="60250"/>
    <s v="Vigente"/>
    <s v="00000264753815"/>
    <s v="NUEVO LEON"/>
    <n v="2016"/>
    <s v="Privado"/>
    <s v="AVEO &quot;F&quot; STD EE ABS A.AC. MP3 B/A 4P"/>
    <s v="0084951987"/>
    <s v="JULIO ERNESTO MARTINEZ RAMOS"/>
    <s v="Pendiente"/>
    <s v="EN EL LUGAR MITSUBUSHI GRIS"/>
    <s v="NUEVO LEON"/>
    <x v="0"/>
    <s v="13:54"/>
    <s v="RICARDO MARGAIN"/>
    <d v="2018-09-11T00:00:00"/>
    <x v="0"/>
    <n v="33"/>
    <s v="TERCERO"/>
    <x v="14"/>
    <x v="2"/>
    <x v="8"/>
    <m/>
    <x v="9"/>
    <s v="JULIO ERNESTO MARTINEZ RAMOS"/>
  </r>
  <r>
    <s v="00000264968041"/>
    <s v="1"/>
    <s v="36868"/>
    <n v="0"/>
    <n v="1099.83"/>
    <n v="0"/>
    <n v="0"/>
    <n v="5293.82"/>
    <n v="-1554.63"/>
    <n v="0"/>
    <n v="-15658"/>
    <n v="0"/>
    <n v="0"/>
    <n v="-11918.81"/>
    <n v="5293.82"/>
    <n v="0"/>
    <n v="0"/>
    <n v="0"/>
    <n v="0"/>
    <s v="20180314"/>
    <s v="G.N.P. ARRENDAMIENTO Y ADMINISTRACION DE FLOTILLAS"/>
    <s v="3G1TB5CF7HL163143"/>
    <n v="20171231"/>
    <n v="20181230"/>
    <m/>
    <s v="60250"/>
    <s v="Vigente"/>
    <s v="00000264753815"/>
    <s v="GUANAJUATO"/>
    <n v="2017"/>
    <s v="Privado"/>
    <s v="AVEO &quot;F&quot; STD EE ABS A.AC. MP3 B/A 4P"/>
    <s v="0084955277"/>
    <s v="JOSE ISRAEL MARTINEZ HERNANDEZ"/>
    <s v="Terminado"/>
    <s v="SI HAY TERCERO VENTO BLANCO"/>
    <s v="GUANAJUATO"/>
    <x v="0"/>
    <s v="14:50"/>
    <s v="SOLIDARIDAD"/>
    <d v="2018-09-11T00:00:00"/>
    <x v="0"/>
    <n v="33"/>
    <s v="TERCERO"/>
    <x v="14"/>
    <x v="2"/>
    <x v="8"/>
    <m/>
    <x v="9"/>
    <s v="JOSE ISRAEL MARTINEZ HERNANDEZ"/>
  </r>
  <r>
    <s v="00000264968041"/>
    <s v="1"/>
    <s v="36868"/>
    <n v="0"/>
    <n v="729.24"/>
    <n v="0"/>
    <n v="0"/>
    <n v="10501.93"/>
    <n v="-773.41"/>
    <n v="0"/>
    <n v="-15658"/>
    <n v="0"/>
    <n v="0"/>
    <n v="-5929.48"/>
    <n v="10501.93"/>
    <n v="0"/>
    <n v="0"/>
    <n v="0"/>
    <n v="0"/>
    <s v="20180430"/>
    <s v="G.N.P. ARRENDAMIENTO Y ADMINISTRACION DE FLOTILLAS"/>
    <s v="3G1TB5CF7HL163143"/>
    <n v="20171231"/>
    <n v="20181230"/>
    <m/>
    <s v="60250"/>
    <s v="Vigente"/>
    <s v="00000264753815"/>
    <s v="DISTRITO FEDERAL"/>
    <n v="2018"/>
    <s v="Privado"/>
    <s v="AVEO LT SEDAN W STD"/>
    <s v="0085209179"/>
    <s v="RAUL GONZALEZ GARCIA"/>
    <s v="Reabierto"/>
    <s v="SI 3ERRO JETTA BLANCO"/>
    <s v="Distrito Federal"/>
    <x v="0"/>
    <s v="09:08"/>
    <s v="IGNACIO ZARAGOZA"/>
    <d v="2018-09-19T00:00:00"/>
    <x v="0"/>
    <n v="33"/>
    <s v="TERCERO"/>
    <x v="14"/>
    <x v="2"/>
    <x v="8"/>
    <m/>
    <x v="9"/>
    <s v="RAUL GONZALEZ GARCIA"/>
  </r>
  <r>
    <s v="00000264968066"/>
    <s v="1"/>
    <s v="36868"/>
    <n v="0"/>
    <n v="1269.8"/>
    <n v="0"/>
    <n v="0"/>
    <n v="11569.05"/>
    <n v="-214.64"/>
    <n v="0"/>
    <n v="-13000"/>
    <n v="0"/>
    <n v="0"/>
    <n v="-1645.59"/>
    <n v="11569.05"/>
    <n v="0"/>
    <n v="0"/>
    <n v="0"/>
    <n v="0"/>
    <s v="20180501"/>
    <s v="G.N.P. ARRENDAMIENTO Y ADMINISTRACION DE FLOTILLAS"/>
    <s v="3G1TB5CF7HL164065"/>
    <n v="20171231"/>
    <n v="20181230"/>
    <m/>
    <s v="60250"/>
    <s v="Vigente"/>
    <s v="00000264775123"/>
    <s v="DISTRITO FEDERAL"/>
    <n v="2013"/>
    <s v="Grua"/>
    <s v="ISUZU ELF 400 CHASIS CABINA K STD"/>
    <s v="0085269066"/>
    <s v="SD SD SD"/>
    <s v="Reabierto"/>
    <s v="3RO MITUVISHI OBLANDER"/>
    <s v="Distrito Federal"/>
    <x v="0"/>
    <s v="15:20"/>
    <s v="OCASO 43"/>
    <d v="2018-09-20T00:00:00"/>
    <x v="0"/>
    <n v="33"/>
    <s v="ASEGURADO"/>
    <x v="14"/>
    <x v="2"/>
    <x v="8"/>
    <m/>
    <x v="9"/>
    <s v="SD SD SD"/>
  </r>
  <r>
    <s v="00000264968108"/>
    <s v="1"/>
    <s v="36868"/>
    <n v="0"/>
    <n v="626.58000000000004"/>
    <n v="0"/>
    <n v="0"/>
    <n v="18473.73"/>
    <n v="3922.38"/>
    <n v="0"/>
    <n v="0"/>
    <n v="0"/>
    <n v="7675.49"/>
    <n v="30071.599999999999"/>
    <n v="18473.73"/>
    <n v="0"/>
    <n v="0"/>
    <n v="0"/>
    <n v="0"/>
    <s v="20181108"/>
    <s v="G.N.P. ARRENDAMIENTO Y ADMINISTRACION DE FLOTILLAS"/>
    <s v="3G1TB5CF7HL165863"/>
    <n v="20171231"/>
    <n v="20181230"/>
    <m/>
    <s v="60250"/>
    <s v="Vigente"/>
    <s v="00000264756040"/>
    <s v="DISTRITO FEDERAL"/>
    <n v="2016"/>
    <s v="Privado"/>
    <s v="HONDA"/>
    <s v="0085308906"/>
    <s v="LUIS FERNANDO SILVA SD"/>
    <s v="Reabierto"/>
    <s v="NA LESIONADO"/>
    <s v="Distrito Federal"/>
    <x v="0"/>
    <s v="15:43"/>
    <s v="RIO BECERRA"/>
    <d v="2018-09-21T00:00:00"/>
    <x v="0"/>
    <n v="33"/>
    <m/>
    <x v="14"/>
    <x v="2"/>
    <x v="8"/>
    <m/>
    <x v="9"/>
    <s v="LUIS FERNANDO SILVA SD"/>
  </r>
  <r>
    <s v="00000264968116"/>
    <s v="1"/>
    <s v="36868"/>
    <n v="0"/>
    <n v="823.46"/>
    <n v="0"/>
    <n v="0"/>
    <n v="2668.5"/>
    <n v="802.78"/>
    <n v="0"/>
    <n v="0"/>
    <n v="0"/>
    <n v="0"/>
    <n v="3471.28"/>
    <n v="0"/>
    <n v="0"/>
    <n v="0"/>
    <n v="2668.5"/>
    <n v="0"/>
    <s v="20180813"/>
    <s v="G.N.P. ARRENDAMIENTO Y ADMINISTRACION DE FLOTILLAS"/>
    <s v="3G1TB5CF4HL126521"/>
    <n v="20171231"/>
    <n v="20181230"/>
    <m/>
    <s v="60250"/>
    <s v="Vigente"/>
    <s v="00000264753815"/>
    <s v="SAN LUIS POTOSI"/>
    <n v="2017"/>
    <s v="Privado"/>
    <s v="AVEO &quot;F&quot; STD EE ABS A.AC. MP3 B/A 4P"/>
    <s v="0085287472"/>
    <s v="ISRAEL ALEJANDRO REYES DOMINGUEZ"/>
    <s v="Pendiente"/>
    <s v="3RO VENTO NEGRO"/>
    <s v="SAN LUIS POTOSI"/>
    <x v="0"/>
    <s v="08:13"/>
    <s v="TOMAS ESTEVEZ"/>
    <d v="2018-09-21T00:00:00"/>
    <x v="0"/>
    <n v="33"/>
    <m/>
    <x v="14"/>
    <x v="2"/>
    <x v="8"/>
    <m/>
    <x v="9"/>
    <s v="ISRAEL ALEJANDRO REYES DOMINGUEZ"/>
  </r>
  <r>
    <s v="00000264968140"/>
    <s v="1"/>
    <s v="36868"/>
    <n v="0"/>
    <n v="3560.25"/>
    <n v="0"/>
    <n v="0"/>
    <n v="25086.7"/>
    <n v="1414.31"/>
    <n v="0"/>
    <n v="-15658"/>
    <n v="0"/>
    <n v="0"/>
    <n v="10843.01"/>
    <n v="25086.7"/>
    <n v="0"/>
    <n v="0"/>
    <n v="0"/>
    <n v="0"/>
    <s v="20180612"/>
    <s v="G.N.P. ARRENDAMIENTO Y ADMINISTRACION DE FLOTILLAS"/>
    <s v="3G1TB5CFXHL152136"/>
    <n v="20171231"/>
    <n v="20181230"/>
    <m/>
    <s v="60250"/>
    <s v="Vigente"/>
    <s v="00000264753815"/>
    <s v="NUEVO LEON"/>
    <n v="2017"/>
    <s v="Privado"/>
    <s v="AVEO &quot;F&quot; STD EE ABS A.AC. MP3 B/A 4P"/>
    <s v="0085339430"/>
    <s v="ESTACIONADO ESTACIONADO ESTACIONADO"/>
    <s v="Pendiente"/>
    <s v="3RO CAMIONETA FORD GRIS"/>
    <s v="NUEVO LEON"/>
    <x v="0"/>
    <s v="16:55"/>
    <m/>
    <d v="2018-09-22T00:00:00"/>
    <x v="0"/>
    <n v="33"/>
    <m/>
    <x v="14"/>
    <x v="2"/>
    <x v="8"/>
    <m/>
    <x v="9"/>
    <s v="ESTACIONADO ESTACIONADO ESTACIONADO"/>
  </r>
  <r>
    <s v="00000264968199"/>
    <s v="1"/>
    <s v="36868"/>
    <n v="5251.66"/>
    <n v="1327.33"/>
    <n v="0"/>
    <n v="0"/>
    <n v="47858.45"/>
    <n v="18305.849999999999"/>
    <n v="0"/>
    <n v="-6319.45"/>
    <n v="0"/>
    <n v="0"/>
    <n v="59844.85"/>
    <n v="47858.45"/>
    <n v="0"/>
    <n v="0"/>
    <n v="0"/>
    <n v="0"/>
    <s v="20180124"/>
    <s v="G.N.P. ARRENDAMIENTO Y ADMINISTRACION DE FLOTILLAS"/>
    <s v="3G1TB5CFXHL164173"/>
    <n v="20171231"/>
    <n v="20181230"/>
    <m/>
    <s v="60250"/>
    <s v="Vigente"/>
    <s v="00000264756040"/>
    <s v="DISTRITO FEDERAL"/>
    <n v="2018"/>
    <s v="Privado"/>
    <s v="HONDA"/>
    <s v="0085372092"/>
    <s v="JOSE LUIS ARMANDO GONZALES CORDERO"/>
    <s v="Pendiente"/>
    <s v="DERRAPE"/>
    <s v="NUEVO LEON"/>
    <x v="5"/>
    <s v="13:15"/>
    <s v="PABLO A GONZALES"/>
    <d v="2018-09-24T00:00:00"/>
    <x v="0"/>
    <n v="33"/>
    <s v="ASEGURADO"/>
    <x v="14"/>
    <x v="2"/>
    <x v="8"/>
    <m/>
    <x v="9"/>
    <s v="JOSE LUIS ARMANDO GONZALES CORDERO"/>
  </r>
  <r>
    <s v="00000264968215"/>
    <s v="1"/>
    <s v="36868"/>
    <n v="0"/>
    <n v="569.35"/>
    <n v="0"/>
    <n v="0"/>
    <n v="1278.6400000000001"/>
    <n v="191.8"/>
    <n v="0"/>
    <n v="0"/>
    <n v="0"/>
    <n v="0"/>
    <n v="1470.44"/>
    <n v="1278.6400000000001"/>
    <n v="0"/>
    <n v="0"/>
    <n v="0"/>
    <n v="0"/>
    <s v="20180602"/>
    <s v="G.N.P. ARRENDAMIENTO Y ADMINISTRACION DE FLOTILLAS"/>
    <s v="3G1TB5CFXHL165808"/>
    <n v="20171231"/>
    <n v="20181230"/>
    <m/>
    <s v="60250"/>
    <s v="Vigente"/>
    <s v="00000264756040"/>
    <s v="JALISCO"/>
    <n v="2016"/>
    <s v="Privado"/>
    <s v="HONDA"/>
    <s v="0085444529"/>
    <s v="CARLOS JONATHAN VIEYRA SOTO"/>
    <s v="Pendiente"/>
    <s v="SI 3ERO FORD ESCAPE COLOR ROJA"/>
    <s v="JALISCO"/>
    <x v="0"/>
    <s v="10:59"/>
    <m/>
    <d v="2018-09-26T00:00:00"/>
    <x v="0"/>
    <n v="33"/>
    <m/>
    <x v="14"/>
    <x v="2"/>
    <x v="8"/>
    <m/>
    <x v="9"/>
    <s v="CARLOS JONATHAN VIEYRA SOTO"/>
  </r>
  <r>
    <s v="00000264968256"/>
    <s v="1"/>
    <s v="36868"/>
    <n v="0"/>
    <n v="1188.93"/>
    <n v="0"/>
    <n v="0"/>
    <n v="3149.68"/>
    <n v="472.45"/>
    <n v="0"/>
    <n v="0"/>
    <n v="0"/>
    <n v="0"/>
    <n v="3622.13"/>
    <n v="3149.68"/>
    <n v="0"/>
    <n v="0"/>
    <n v="0"/>
    <n v="0"/>
    <s v="20180420"/>
    <s v="G.N.P. ARRENDAMIENTO Y ADMINISTRACION DE FLOTILLAS"/>
    <s v="3GNCJ7CE6HL205354"/>
    <n v="20171231"/>
    <n v="20181230"/>
    <m/>
    <s v="60250"/>
    <s v="Vigente"/>
    <s v="00000264753815"/>
    <s v="DISTRITO FEDERAL"/>
    <n v="2017"/>
    <s v="Privado"/>
    <s v="AVEO &quot;F&quot; STD EE ABS A.AC. MP3 B/A 4P"/>
    <s v="0085491918"/>
    <s v="FRANK JONATHAN RODRIGUEZ OLVERA"/>
    <s v="Pendiente"/>
    <s v="3RO NEGRO"/>
    <s v="Distrito Federal"/>
    <x v="0"/>
    <s v="13:24"/>
    <m/>
    <d v="2018-09-27T00:00:00"/>
    <x v="0"/>
    <n v="33"/>
    <m/>
    <x v="14"/>
    <x v="2"/>
    <x v="8"/>
    <m/>
    <x v="9"/>
    <s v="FRANK JONATHAN RODRIGUEZ OLVERA"/>
  </r>
  <r>
    <s v="00000264968264"/>
    <s v="1"/>
    <s v="36868"/>
    <n v="0"/>
    <n v="1538.77"/>
    <n v="0"/>
    <n v="0"/>
    <n v="0"/>
    <n v="-1788.45"/>
    <n v="0"/>
    <n v="-15658"/>
    <n v="0"/>
    <n v="3735"/>
    <n v="-13711.45"/>
    <n v="0"/>
    <n v="0"/>
    <n v="0"/>
    <n v="0"/>
    <n v="0"/>
    <s v="20180123"/>
    <s v="MEDICA MOVIL, S.A. DE C.V."/>
    <s v="1FDSS3EL3DDA69170"/>
    <n v="20171231"/>
    <n v="20181230"/>
    <m/>
    <s v="60250"/>
    <s v="Vigente"/>
    <s v="00000264753815"/>
    <s v="CHIHUAHUA"/>
    <n v="2016"/>
    <s v="Privado"/>
    <s v="AVEO &quot;F&quot; STD EE ABS A.AC. MP3 B/A 4P"/>
    <s v="0085521458"/>
    <s v="JUAN CARLOS SOLIS DOMINGUEZ"/>
    <s v="Pendiente"/>
    <s v="3RO GRIS"/>
    <s v="Chihuahua"/>
    <x v="0"/>
    <s v="10:20"/>
    <m/>
    <d v="2018-09-28T00:00:00"/>
    <x v="0"/>
    <n v="33"/>
    <m/>
    <x v="14"/>
    <x v="2"/>
    <x v="8"/>
    <m/>
    <x v="9"/>
    <s v="JUAN CARLOS SOLIS DOMINGUEZ"/>
  </r>
  <r>
    <s v="00000264968264"/>
    <s v="1"/>
    <s v="36868"/>
    <n v="0"/>
    <n v="2978.27"/>
    <n v="0"/>
    <n v="0"/>
    <n v="29894.36"/>
    <n v="4861.1499999999996"/>
    <n v="0"/>
    <n v="0"/>
    <n v="0"/>
    <n v="290"/>
    <n v="35045.51"/>
    <n v="0"/>
    <n v="0"/>
    <n v="0"/>
    <n v="29894.36"/>
    <n v="0"/>
    <s v="20181024"/>
    <s v="MEDICA MOVIL, S.A. DE C.V."/>
    <s v="1FDSS3EL3DDA69170"/>
    <n v="20171231"/>
    <n v="20181230"/>
    <m/>
    <s v="60250"/>
    <s v="Vigente"/>
    <s v="00000264753815"/>
    <s v="JALISCO"/>
    <n v="2017"/>
    <s v="Privado"/>
    <s v="AVEO &quot;F&quot; STD EE ABS A.AC. MP3 B/A 4P"/>
    <s v="0085548386"/>
    <s v="DAVID CARDENAS ECHEVERRIA"/>
    <s v="Pendiente"/>
    <s v="3ERO AUTOB┌S DE PASAJEROS MERDECES BENZ BLANCO CON AZUL PLACAS 717399G"/>
    <s v="JALISCO"/>
    <x v="0"/>
    <s v="20:00"/>
    <m/>
    <d v="2018-09-28T00:00:00"/>
    <x v="0"/>
    <n v="33"/>
    <m/>
    <x v="14"/>
    <x v="2"/>
    <x v="8"/>
    <m/>
    <x v="9"/>
    <s v="DAVID CARDENAS ECHEVERRIA"/>
  </r>
  <r>
    <s v="00000264968280"/>
    <s v="1"/>
    <s v="36868"/>
    <n v="-18068.189999999999"/>
    <n v="-49.64"/>
    <n v="0"/>
    <n v="0"/>
    <n v="0"/>
    <n v="2348.6999999999998"/>
    <n v="0"/>
    <n v="0"/>
    <n v="0"/>
    <n v="15658"/>
    <n v="18006.7"/>
    <n v="0"/>
    <n v="0"/>
    <n v="0"/>
    <n v="0"/>
    <n v="0"/>
    <s v="20180208"/>
    <s v="MEDICA MOVIL, S.A. DE C.V."/>
    <s v="1FDSS3EL4DDA77875"/>
    <n v="20171231"/>
    <n v="20181230"/>
    <m/>
    <s v="60250"/>
    <s v="Vigente"/>
    <s v="00000264753815"/>
    <s v="DISTRITO FEDERAL"/>
    <n v="2018"/>
    <s v="Privado"/>
    <s v="AVEO LT SEDAN W STD"/>
    <s v="0085517670"/>
    <s v="GUADALUPE JAIMES RIOS"/>
    <s v="Reabierto"/>
    <s v="3RO. FORD BLANCA"/>
    <s v="Mexico"/>
    <x v="0"/>
    <s v="09:02"/>
    <m/>
    <d v="2018-09-28T00:00:00"/>
    <x v="0"/>
    <n v="33"/>
    <m/>
    <x v="14"/>
    <x v="2"/>
    <x v="8"/>
    <m/>
    <x v="9"/>
    <s v="GUADALUPE JAIMES RIOS"/>
  </r>
  <r>
    <s v="00000264968306"/>
    <s v="1"/>
    <s v="36868"/>
    <n v="0"/>
    <n v="4566.68"/>
    <n v="0"/>
    <n v="0"/>
    <n v="16260.72"/>
    <n v="3492.11"/>
    <n v="0"/>
    <n v="-10000"/>
    <n v="0"/>
    <n v="0"/>
    <n v="9752.83"/>
    <n v="16260.72"/>
    <n v="0"/>
    <n v="0"/>
    <n v="0"/>
    <n v="0"/>
    <s v="20180703"/>
    <s v="MEDICA MOVIL, S.A. DE C.V."/>
    <s v="1FDSS3EL2DDA91533"/>
    <n v="20171231"/>
    <n v="20181230"/>
    <m/>
    <s v="60250"/>
    <s v="Vigente"/>
    <s v="00000264753815"/>
    <s v="COAHUILA"/>
    <n v="2017"/>
    <s v="Privado"/>
    <s v="AVEO &quot;F&quot; STD EE ABS A.AC. MP3 B/A 4P"/>
    <s v="0085705911"/>
    <s v="ENRIQUE CHAVEZ FABILA"/>
    <s v="Pendiente"/>
    <s v="SI HAY TERCDRO TAXI ATOS AMARILLO"/>
    <s v="Coahuila"/>
    <x v="0"/>
    <s v="09:46"/>
    <m/>
    <d v="2018-10-04T00:00:00"/>
    <x v="0"/>
    <n v="33"/>
    <m/>
    <x v="15"/>
    <x v="2"/>
    <x v="8"/>
    <m/>
    <x v="9"/>
    <s v="ENRIQUE CHAVEZ FABILA"/>
  </r>
  <r>
    <s v="00000264968322"/>
    <s v="1"/>
    <s v="36868"/>
    <n v="18916.13"/>
    <n v="9406.1"/>
    <n v="18916.13"/>
    <n v="18916.13"/>
    <n v="15658"/>
    <n v="2348.6999999999998"/>
    <n v="0"/>
    <n v="0"/>
    <n v="0"/>
    <n v="0"/>
    <n v="18006.7"/>
    <n v="0"/>
    <n v="0"/>
    <n v="0"/>
    <n v="15658"/>
    <n v="0"/>
    <s v="20180117"/>
    <s v="VALMEX SOLUCIONES FINANCIERAS, S.A. DE C.V., SOFOM"/>
    <s v="1FDWE3FSXEDB18803"/>
    <n v="20171231"/>
    <n v="20181230"/>
    <m/>
    <s v="60250"/>
    <s v="Vigente"/>
    <s v="00000264753815"/>
    <s v="JALISCO"/>
    <n v="2016"/>
    <s v="Privado"/>
    <s v="AVEO &quot;F&quot; STD EE ABS A.AC. MP3 B/A 4P"/>
    <s v="0085749976"/>
    <s v="JOSE LUIS GONZALEZ ARCIGA"/>
    <s v="Terminado"/>
    <s v="SI HAY3RO JEEP BLANCO"/>
    <s v="JALISCO"/>
    <x v="0"/>
    <s v="11:07"/>
    <m/>
    <d v="2018-10-05T00:00:00"/>
    <x v="0"/>
    <n v="33"/>
    <m/>
    <x v="15"/>
    <x v="2"/>
    <x v="8"/>
    <m/>
    <x v="9"/>
    <s v="JOSE LUIS GONZALEZ ARCIGA"/>
  </r>
  <r>
    <s v="00000264968322"/>
    <s v="1"/>
    <s v="36868"/>
    <n v="0"/>
    <n v="3170.01"/>
    <n v="0"/>
    <n v="0"/>
    <n v="4365.41"/>
    <n v="1057.31"/>
    <n v="0"/>
    <n v="0"/>
    <n v="0"/>
    <n v="0"/>
    <n v="5422.72"/>
    <n v="0"/>
    <n v="0"/>
    <n v="0"/>
    <n v="4365.41"/>
    <n v="0"/>
    <s v="20181007"/>
    <s v="VALMEX SOLUCIONES FINANCIERAS, S.A. DE C.V., SOFOM"/>
    <s v="1FDWE3FSXEDB18803"/>
    <n v="20171231"/>
    <n v="20181230"/>
    <m/>
    <s v="60250"/>
    <s v="Vigente"/>
    <s v="00000264753815"/>
    <s v="JALISCO"/>
    <n v="2017"/>
    <s v="Privado"/>
    <s v="AVEO &quot;F&quot; STD EE ABS A.AC. MP3 B/A 4P"/>
    <s v="0085776128"/>
    <s v="JORGE SCARI GUTIERREZ GARCIA"/>
    <s v="Terminado"/>
    <s v="3RO CICLISTA"/>
    <s v="JALISCO"/>
    <x v="0"/>
    <s v="20:09"/>
    <m/>
    <d v="2018-10-05T00:00:00"/>
    <x v="0"/>
    <n v="33"/>
    <m/>
    <x v="15"/>
    <x v="2"/>
    <x v="8"/>
    <m/>
    <x v="9"/>
    <s v="JORGE SCARI GUTIERREZ GARCIA"/>
  </r>
  <r>
    <s v="00000264968363"/>
    <s v="1"/>
    <s v="36868"/>
    <n v="0"/>
    <n v="1543.02"/>
    <n v="0"/>
    <n v="0"/>
    <n v="7596.96"/>
    <n v="64.66"/>
    <n v="0"/>
    <n v="-7165.9"/>
    <n v="0"/>
    <n v="0"/>
    <n v="495.72"/>
    <n v="7596.96"/>
    <n v="0"/>
    <n v="0"/>
    <n v="0"/>
    <n v="0"/>
    <s v="20180213"/>
    <s v="G.N.P. ARRENDAMIENTO Y ADMINISTRACION DE FLOTILLAS"/>
    <s v="3N1CK3CD1JL213277"/>
    <n v="20171231"/>
    <n v="20181230"/>
    <m/>
    <s v="60250"/>
    <s v="Vigente"/>
    <s v="00000264753815"/>
    <s v="DISTRITO FEDERAL"/>
    <n v="2017"/>
    <s v="Privado"/>
    <s v="AVEO &quot;F&quot; STD EE ABS A.AC. MP3 B/A 4P"/>
    <s v="0085759272"/>
    <s v="SUSANA MENDOZA BARRERA"/>
    <s v="Terminado"/>
    <s v="EN EL LUGAR TAXI BLANCO CON ROSA"/>
    <s v="Distrito Federal"/>
    <x v="0"/>
    <s v="13:42"/>
    <m/>
    <d v="2018-10-05T00:00:00"/>
    <x v="0"/>
    <n v="33"/>
    <m/>
    <x v="15"/>
    <x v="2"/>
    <x v="8"/>
    <m/>
    <x v="9"/>
    <s v="SUSANA MENDOZA BARRERA"/>
  </r>
  <r>
    <s v="00000264968439"/>
    <s v="1"/>
    <s v="36868"/>
    <n v="0"/>
    <n v="1023.09"/>
    <n v="0"/>
    <n v="0"/>
    <n v="4444.78"/>
    <n v="1085.22"/>
    <n v="0"/>
    <n v="-930"/>
    <n v="0"/>
    <n v="3720"/>
    <n v="8320"/>
    <n v="4444.78"/>
    <n v="0"/>
    <n v="0"/>
    <n v="0"/>
    <n v="0"/>
    <s v="20180815"/>
    <s v="G.N.P. ARRENDAMIENTO Y ADMINISTRACION DE FLOTILLAS"/>
    <s v="3N1CK3CD8JL214958"/>
    <n v="20171231"/>
    <n v="20181230"/>
    <m/>
    <s v="60250"/>
    <s v="Vigente"/>
    <s v="00000264774621"/>
    <s v="DISTRITO FEDERAL"/>
    <n v="2014"/>
    <s v="Ambulancia"/>
    <s v="FORD F-350 SUPER DUTY XL"/>
    <s v="0085805844"/>
    <s v="EDGAR VAZQUEZ ESCARTIN"/>
    <s v="Terminado"/>
    <s v="VS REJA DEL HOSPITAL"/>
    <s v="Distrito Federal"/>
    <x v="0"/>
    <s v="15:10"/>
    <m/>
    <d v="2018-10-07T00:00:00"/>
    <x v="0"/>
    <n v="33"/>
    <m/>
    <x v="15"/>
    <x v="2"/>
    <x v="8"/>
    <m/>
    <x v="9"/>
    <s v="EDGAR VAZQUEZ ESCARTIN"/>
  </r>
  <r>
    <s v="00000264968454"/>
    <s v="1"/>
    <s v="36868"/>
    <n v="0"/>
    <n v="5130.5"/>
    <n v="0"/>
    <n v="0"/>
    <n v="0"/>
    <n v="924.79"/>
    <n v="0"/>
    <n v="0"/>
    <n v="0"/>
    <n v="2945.25"/>
    <n v="3870.04"/>
    <n v="0"/>
    <n v="0"/>
    <n v="0"/>
    <n v="0"/>
    <n v="0"/>
    <s v="20180526"/>
    <s v="VALMEX SOLUCIONES FINANCIERAS, S.A. DE C.V., SOFOM"/>
    <s v="JAANPR759D7005063"/>
    <n v="20171231"/>
    <n v="20181230"/>
    <m/>
    <s v="60250"/>
    <s v="Vigente"/>
    <s v="00000264753815"/>
    <s v="DISTRITO FEDERAL"/>
    <n v="2017"/>
    <s v="Privado"/>
    <s v="AVEO &quot;F&quot; STD EE ABS A.AC. MP3 B/A 4P"/>
    <s v="0085817625"/>
    <m/>
    <s v="Pendiente"/>
    <s v="PARABRISAS"/>
    <s v="Distrito Federal"/>
    <x v="1"/>
    <s v="10:00"/>
    <m/>
    <d v="2018-10-08T00:00:00"/>
    <x v="0"/>
    <n v="33"/>
    <m/>
    <x v="15"/>
    <x v="2"/>
    <x v="8"/>
    <m/>
    <x v="9"/>
    <m/>
  </r>
  <r>
    <s v="00000264968454"/>
    <s v="1"/>
    <s v="36868"/>
    <n v="0"/>
    <n v="4965"/>
    <n v="0"/>
    <n v="0"/>
    <n v="4255.76"/>
    <n v="890.66"/>
    <n v="0"/>
    <n v="0"/>
    <n v="0"/>
    <n v="1682"/>
    <n v="6828.42"/>
    <n v="0"/>
    <n v="0"/>
    <n v="0"/>
    <n v="4255.76"/>
    <n v="0"/>
    <s v="20180920"/>
    <s v="VALMEX SOLUCIONES FINANCIERAS, S.A. DE C.V., SOFOM"/>
    <s v="JAANPR759D7005063"/>
    <n v="20171231"/>
    <n v="20181230"/>
    <m/>
    <s v="60250"/>
    <s v="Vigente"/>
    <s v="00000264753815"/>
    <s v="DISTRITO FEDERAL"/>
    <n v="2018"/>
    <s v="Privado"/>
    <s v="AVEO LT SEDAN W STD"/>
    <s v="0085819142"/>
    <s v="ADRIAN ARTURO HERNANDEZ NU#EZ"/>
    <s v="Pendiente"/>
    <s v="DA#O A OBJETO FIJO Y PEATON"/>
    <s v="Mexico"/>
    <x v="6"/>
    <s v="10:49"/>
    <m/>
    <d v="2018-10-08T00:00:00"/>
    <x v="0"/>
    <n v="33"/>
    <m/>
    <x v="15"/>
    <x v="2"/>
    <x v="8"/>
    <m/>
    <x v="9"/>
    <s v="ADRIAN ARTURO HERNANDEZ NU#EZ"/>
  </r>
  <r>
    <s v="00000264968470"/>
    <s v="1"/>
    <s v="36868"/>
    <n v="-30081.43"/>
    <n v="-2561.88"/>
    <n v="0"/>
    <n v="0"/>
    <n v="8639"/>
    <n v="1295.8499999999999"/>
    <n v="0"/>
    <n v="0"/>
    <n v="0"/>
    <n v="0"/>
    <n v="9934.85"/>
    <n v="0"/>
    <n v="0"/>
    <n v="0"/>
    <n v="8639"/>
    <n v="0"/>
    <s v="20180104"/>
    <s v="VALMEX SOLUCIONES FINANCIERAS, S.A. DE C.V., SOFOM"/>
    <s v="JAANPR750D7004898"/>
    <n v="20171231"/>
    <n v="20181230"/>
    <m/>
    <s v="60250"/>
    <s v="Vigente"/>
    <s v="00000264753815"/>
    <s v="DISTRITO FEDERAL"/>
    <n v="2018"/>
    <s v="Privado"/>
    <s v="AVEO LT SEDAN W STD"/>
    <s v="0085941151"/>
    <s v="DIEGO GONZALEZ POLO MU#OZ"/>
    <s v="Pendiente"/>
    <s v="IBIZA BCO"/>
    <s v="Mexico"/>
    <x v="0"/>
    <s v="11:06"/>
    <m/>
    <d v="2018-10-11T00:00:00"/>
    <x v="0"/>
    <n v="33"/>
    <m/>
    <x v="15"/>
    <x v="2"/>
    <x v="8"/>
    <m/>
    <x v="9"/>
    <s v="DIEGO GONZALEZ POLO MU#OZ"/>
  </r>
  <r>
    <s v="00000264968488"/>
    <s v="1"/>
    <s v="36868"/>
    <n v="0"/>
    <n v="4957.82"/>
    <n v="0"/>
    <n v="0"/>
    <n v="827"/>
    <n v="124.05"/>
    <n v="0"/>
    <n v="0"/>
    <n v="0"/>
    <n v="0"/>
    <n v="951.05"/>
    <n v="0"/>
    <n v="0"/>
    <n v="0"/>
    <n v="827"/>
    <n v="0"/>
    <s v="20180510"/>
    <s v="VALMEX SOLUCIONES FINANCIERAS, S.A. DE C.V., SOFOM"/>
    <s v="JAANPR755D7005061"/>
    <n v="20171231"/>
    <n v="20181230"/>
    <m/>
    <s v="60250"/>
    <s v="Vigente"/>
    <s v="00000264753815"/>
    <s v="DISTRITO FEDERAL"/>
    <n v="2018"/>
    <s v="Privado"/>
    <s v="AVEO LT SEDAN W STD"/>
    <s v="0085936086"/>
    <s v="OSCAR ALEJANDRO SILVA MENDOZA"/>
    <s v="Pendiente"/>
    <s v="3RO FIGO AZUL"/>
    <s v="JALISCO"/>
    <x v="0"/>
    <s v="09:22"/>
    <m/>
    <d v="2018-10-11T00:00:00"/>
    <x v="0"/>
    <n v="33"/>
    <m/>
    <x v="15"/>
    <x v="2"/>
    <x v="8"/>
    <m/>
    <x v="9"/>
    <s v="OSCAR ALEJANDRO SILVA MENDOZA"/>
  </r>
  <r>
    <s v="00000264968488"/>
    <s v="1"/>
    <s v="36868"/>
    <n v="0"/>
    <n v="0"/>
    <n v="0"/>
    <n v="0"/>
    <n v="1500"/>
    <n v="225"/>
    <n v="0"/>
    <n v="0"/>
    <n v="0"/>
    <n v="0"/>
    <n v="1725"/>
    <n v="0"/>
    <n v="0"/>
    <n v="0"/>
    <n v="1500"/>
    <n v="0"/>
    <s v="20181107"/>
    <s v="VALMEX SOLUCIONES FINANCIERAS, S.A. DE C.V., SOFOM"/>
    <s v="JAANPR755D7005061"/>
    <n v="20171231"/>
    <n v="20181230"/>
    <m/>
    <s v="60250"/>
    <s v="Vigente"/>
    <s v="00000264753815"/>
    <s v="DISTRITO FEDERAL"/>
    <n v="2018"/>
    <s v="Privado"/>
    <s v="AVEO LT SEDAN W STD"/>
    <s v="0085939981"/>
    <s v="DAVID ROLANDO LANDEROS"/>
    <s v="Reabierto"/>
    <s v="VS UNOS MUROS Y UNAS TRABES"/>
    <s v="Distrito Federal"/>
    <x v="0"/>
    <s v="10:45"/>
    <m/>
    <d v="2018-10-11T00:00:00"/>
    <x v="0"/>
    <n v="33"/>
    <m/>
    <x v="15"/>
    <x v="2"/>
    <x v="8"/>
    <m/>
    <x v="9"/>
    <s v="DAVID ROLANDO LANDEROS"/>
  </r>
  <r>
    <s v="00000264968538"/>
    <s v="1"/>
    <s v="36868"/>
    <n v="0"/>
    <n v="1089.53"/>
    <n v="0"/>
    <n v="0"/>
    <n v="18359.72"/>
    <n v="2753.96"/>
    <n v="0"/>
    <n v="0"/>
    <n v="0"/>
    <n v="0"/>
    <n v="21113.68"/>
    <n v="18359.72"/>
    <n v="0"/>
    <n v="0"/>
    <n v="0"/>
    <n v="0"/>
    <s v="20180216"/>
    <s v="G.N.P. ARRENDAMIENTO Y ADMINISTRACION DE FLOTILLAS"/>
    <s v="3N1CK3CD5JL212794"/>
    <n v="20171231"/>
    <n v="20181230"/>
    <m/>
    <s v="60250"/>
    <s v="Vigente"/>
    <s v="00000264753815"/>
    <s v="GUANAJUATO"/>
    <n v="2016"/>
    <s v="Privado"/>
    <s v="AVEO &quot;F&quot; STD EE ABS A.AC. MP3 B/A 4P"/>
    <s v="0085985935"/>
    <s v="EDUARDO VARGAS RIVAS"/>
    <s v="Terminado"/>
    <s v="3RO.EN EL LUGAR"/>
    <s v="GUANAJUATO"/>
    <x v="0"/>
    <s v="12:39"/>
    <m/>
    <d v="2018-10-12T00:00:00"/>
    <x v="0"/>
    <n v="33"/>
    <m/>
    <x v="15"/>
    <x v="2"/>
    <x v="8"/>
    <m/>
    <x v="9"/>
    <s v="EDUARDO VARGAS RIVAS"/>
  </r>
  <r>
    <s v="00000264968645"/>
    <s v="1"/>
    <s v="36868"/>
    <n v="0"/>
    <n v="7747.76"/>
    <n v="0"/>
    <n v="0"/>
    <n v="3404.34"/>
    <n v="510.65"/>
    <n v="0"/>
    <n v="0"/>
    <n v="0"/>
    <n v="0"/>
    <n v="3914.99"/>
    <n v="0"/>
    <n v="0"/>
    <n v="0"/>
    <n v="3404.34"/>
    <n v="0"/>
    <s v="20180416"/>
    <s v="G.N.P. ARRENDAMIENTO Y ADMINISTRACION DE FLOTILLAS"/>
    <s v="WB10B0606JZ932666"/>
    <n v="20171231"/>
    <n v="20181230"/>
    <m/>
    <s v="60250"/>
    <s v="Vigente"/>
    <s v="00000264753815"/>
    <s v="DISTRITO FEDERAL"/>
    <n v="2017"/>
    <s v="Privado"/>
    <s v="AVEO &quot;F&quot; STD EE ABS A.AC. MP3 B/A 4P"/>
    <s v="0086004660"/>
    <s v="LIZANDO ARREDONDO MORALES"/>
    <s v="Pendiente"/>
    <s v="3RO HONDA NEGRO"/>
    <s v="Distrito Federal"/>
    <x v="0"/>
    <s v="19:52"/>
    <m/>
    <d v="2018-10-12T00:00:00"/>
    <x v="0"/>
    <n v="33"/>
    <m/>
    <x v="15"/>
    <x v="2"/>
    <x v="8"/>
    <m/>
    <x v="9"/>
    <s v="LIZANDO ARREDONDO MORALES"/>
  </r>
  <r>
    <s v="00000264968645"/>
    <s v="1"/>
    <s v="36868"/>
    <n v="0"/>
    <n v="11371.71"/>
    <n v="0"/>
    <n v="0"/>
    <n v="0"/>
    <n v="23483"/>
    <n v="0"/>
    <n v="0"/>
    <n v="0"/>
    <n v="0"/>
    <n v="23483"/>
    <n v="0"/>
    <n v="0"/>
    <n v="0"/>
    <n v="0"/>
    <n v="0"/>
    <s v="20180808"/>
    <s v="G.N.P. ARRENDAMIENTO Y ADMINISTRACION DE FLOTILLAS"/>
    <s v="WB10B0606JZ932666"/>
    <n v="20171231"/>
    <n v="20181230"/>
    <m/>
    <s v="60250"/>
    <s v="Vigente"/>
    <s v="00000264753815"/>
    <s v="DISTRITO FEDERAL"/>
    <n v="2017"/>
    <s v="Privado"/>
    <s v="AVEO &quot;F&quot; STD EE ABS A.AC. MP3 B/A 4P"/>
    <s v="0086037728"/>
    <s v="RUBEN  DARIO PARRA JIMENEZ"/>
    <s v="Terminado"/>
    <s v="SI 3ERO NISSAN VERSA AZUL"/>
    <s v="Mexico"/>
    <x v="0"/>
    <s v="13:31"/>
    <m/>
    <d v="2018-10-14T00:00:00"/>
    <x v="0"/>
    <n v="33"/>
    <m/>
    <x v="15"/>
    <x v="2"/>
    <x v="8"/>
    <m/>
    <x v="9"/>
    <s v="RUBEN  DARIO PARRA JIMENEZ"/>
  </r>
  <r>
    <s v="00000264968678"/>
    <s v="1"/>
    <s v="36868"/>
    <n v="0"/>
    <n v="19119.48"/>
    <n v="0"/>
    <n v="0"/>
    <n v="3250"/>
    <n v="-1788.45"/>
    <n v="0"/>
    <n v="-18908"/>
    <n v="0"/>
    <n v="3735"/>
    <n v="-13711.45"/>
    <n v="0"/>
    <n v="3250"/>
    <n v="0"/>
    <n v="0"/>
    <n v="0"/>
    <s v="20180529"/>
    <s v="G.N.P. ARRENDAMIENTO Y ADMINISTRACION DE FLOTILLAS"/>
    <s v="WB10B0608JZ932698"/>
    <n v="20171231"/>
    <n v="20181230"/>
    <m/>
    <s v="60250"/>
    <s v="Vigente"/>
    <s v="00000264753815"/>
    <s v="DISTRITO FEDERAL"/>
    <n v="2018"/>
    <s v="Privado"/>
    <s v="AVEO LT SEDAN W STD"/>
    <s v="0086054491"/>
    <m/>
    <s v="Pendiente"/>
    <s v="AUTOAJUSTE   SMS 5543438651"/>
    <s v="MORELOS"/>
    <x v="1"/>
    <s v="11:24"/>
    <m/>
    <d v="2018-10-15T00:00:00"/>
    <x v="0"/>
    <n v="33"/>
    <m/>
    <x v="15"/>
    <x v="2"/>
    <x v="8"/>
    <m/>
    <x v="9"/>
    <m/>
  </r>
  <r>
    <s v="00000264968678"/>
    <s v="1"/>
    <s v="36868"/>
    <n v="0"/>
    <n v="3748.92"/>
    <n v="0"/>
    <n v="0"/>
    <n v="2543.1"/>
    <n v="14861.81"/>
    <n v="0"/>
    <n v="0"/>
    <n v="0"/>
    <n v="64687.13"/>
    <n v="82092.039999999994"/>
    <n v="0"/>
    <n v="2543.1"/>
    <n v="0"/>
    <n v="0"/>
    <n v="0"/>
    <s v="20181026"/>
    <s v="G.N.P. ARRENDAMIENTO Y ADMINISTRACION DE FLOTILLAS"/>
    <s v="WB10B0608JZ932698"/>
    <n v="20171231"/>
    <n v="20181230"/>
    <m/>
    <s v="60250"/>
    <s v="Vigente"/>
    <s v="00000264753815"/>
    <s v="YUCATAN"/>
    <n v="2016"/>
    <s v="Privado"/>
    <s v="AVEO &quot;F&quot; STD EE ABS A.AC. MP3 B/A 4P"/>
    <s v="0086107885"/>
    <s v="JESUS ANTONIO FRANCO CABRERA"/>
    <s v="Terminado"/>
    <s v="3RO AVEO PLATA"/>
    <s v="YUCATAN"/>
    <x v="0"/>
    <s v="14:29"/>
    <m/>
    <d v="2018-10-16T00:00:00"/>
    <x v="0"/>
    <n v="33"/>
    <m/>
    <x v="15"/>
    <x v="2"/>
    <x v="8"/>
    <m/>
    <x v="9"/>
    <s v="JESUS ANTONIO FRANCO CABRERA"/>
  </r>
  <r>
    <s v="00000264968694"/>
    <s v="1"/>
    <s v="36868"/>
    <n v="0"/>
    <n v="11371.71"/>
    <n v="0"/>
    <n v="0"/>
    <n v="0"/>
    <n v="5305.13"/>
    <n v="0"/>
    <n v="0"/>
    <n v="0"/>
    <n v="12367.53"/>
    <n v="17672.66"/>
    <n v="0"/>
    <n v="0"/>
    <n v="0"/>
    <n v="0"/>
    <n v="0"/>
    <s v="20180923"/>
    <s v="G.N.P. ARRENDAMIENTO Y ADMINISTRACION DE FLOTILLAS"/>
    <s v="WB10B0604JZ932679"/>
    <n v="20171231"/>
    <n v="20181230"/>
    <m/>
    <s v="60250"/>
    <s v="Vigente"/>
    <s v="00000264753815"/>
    <s v="QUERETARO"/>
    <n v="2017"/>
    <s v="Privado"/>
    <s v="AVEO &quot;F&quot; STD EE ABS A.AC. MP3 B/A 4P"/>
    <s v="0086116886"/>
    <s v="MARCELA DE LEON BALDERAS"/>
    <s v="Reabierto"/>
    <s v="ASIGNAR AL AJ 5704 MANUEL AYALA"/>
    <s v="SAN LUIS POTOSI"/>
    <x v="0"/>
    <s v="17:17"/>
    <m/>
    <d v="2018-10-16T00:00:00"/>
    <x v="0"/>
    <n v="33"/>
    <m/>
    <x v="15"/>
    <x v="2"/>
    <x v="8"/>
    <m/>
    <x v="9"/>
    <s v="MARCELA DE LEON BALDERAS"/>
  </r>
  <r>
    <s v="00000264968728"/>
    <s v="1"/>
    <s v="36868"/>
    <n v="0"/>
    <n v="7622.8"/>
    <n v="0"/>
    <n v="0"/>
    <n v="28620.09"/>
    <n v="4293.01"/>
    <n v="0"/>
    <n v="0"/>
    <n v="0"/>
    <n v="0"/>
    <n v="32913.1"/>
    <n v="0"/>
    <n v="12962.09"/>
    <n v="0"/>
    <n v="15658"/>
    <n v="0"/>
    <s v="20180309"/>
    <s v="G.N.P. ARRENDAMIENTO Y ADMINISTRACION DE FLOTILLAS"/>
    <s v="WB10B060XJZ932699"/>
    <n v="20171231"/>
    <n v="20181230"/>
    <m/>
    <s v="60250"/>
    <s v="Vigente"/>
    <s v="00000264753815"/>
    <s v="TAMAULIPAS"/>
    <n v="2016"/>
    <s v="Privado"/>
    <s v="AVEO &quot;F&quot; STD EE ABS A.AC. MP3 B/A 4P"/>
    <s v="0086188638"/>
    <s v="ERIK RICARDO NEDINOS CIFUENTES"/>
    <s v="Pendiente"/>
    <s v="3RO CAMIËN LALA BLANCO"/>
    <s v="TAMAULIPAS"/>
    <x v="0"/>
    <s v="15:27"/>
    <m/>
    <d v="2018-10-18T00:00:00"/>
    <x v="0"/>
    <n v="33"/>
    <m/>
    <x v="15"/>
    <x v="2"/>
    <x v="8"/>
    <m/>
    <x v="9"/>
    <s v="ERIK RICARDO NEDINOS CIFUENTES"/>
  </r>
  <r>
    <s v="00000264968728"/>
    <s v="1"/>
    <s v="36868"/>
    <n v="0"/>
    <n v="19244.439999999999"/>
    <n v="0"/>
    <n v="0"/>
    <n v="4206.6400000000003"/>
    <n v="16778.14"/>
    <n v="0"/>
    <n v="0"/>
    <n v="0"/>
    <n v="14988.31"/>
    <n v="35973.089999999997"/>
    <n v="0"/>
    <n v="1800.64"/>
    <n v="0"/>
    <n v="2406"/>
    <n v="0"/>
    <s v="20180528"/>
    <s v="G.N.P. ARRENDAMIENTO Y ADMINISTRACION DE FLOTILLAS"/>
    <s v="WB10B060XJZ932699"/>
    <n v="20171231"/>
    <n v="20181230"/>
    <m/>
    <s v="60250"/>
    <s v="Vigente"/>
    <s v="00000264753815"/>
    <s v="NUEVO LEON"/>
    <n v="2017"/>
    <s v="Privado"/>
    <s v="AVEO &quot;F&quot; STD EE ABS A.AC. MP3 B/A 4P"/>
    <s v="0086167145"/>
    <s v="FRANCISCO JAVIER PAEZ VENECIA"/>
    <s v="Reabierto"/>
    <s v="3RO FORD VAN ECONOLINE BLANCA"/>
    <s v="NUEVO LEON"/>
    <x v="0"/>
    <s v="07:46"/>
    <m/>
    <d v="2018-10-18T00:00:00"/>
    <x v="0"/>
    <n v="33"/>
    <m/>
    <x v="15"/>
    <x v="2"/>
    <x v="8"/>
    <m/>
    <x v="9"/>
    <s v="FRANCISCO JAVIER PAEZ VENECIA"/>
  </r>
  <r>
    <s v="00000264968769"/>
    <s v="1"/>
    <s v="36868"/>
    <n v="0"/>
    <n v="7497.83"/>
    <n v="0"/>
    <n v="0"/>
    <n v="1500"/>
    <n v="836.4"/>
    <n v="0"/>
    <n v="0"/>
    <n v="0"/>
    <n v="1500"/>
    <n v="3836.4"/>
    <n v="0"/>
    <n v="1500"/>
    <n v="0"/>
    <n v="0"/>
    <n v="0"/>
    <s v="20181121"/>
    <s v="G.N.P. ARRENDAMIENTO Y ADMINISTRACION DE FLOTILLAS"/>
    <s v="WB10B0600JZ932758"/>
    <n v="20171231"/>
    <n v="20181230"/>
    <m/>
    <s v="60250"/>
    <s v="Vigente"/>
    <s v="00000264753815"/>
    <s v="DISTRITO FEDERAL"/>
    <n v="2018"/>
    <s v="Privado"/>
    <s v="AVEO LT SEDAN W STD"/>
    <s v="0086238102"/>
    <s v="CESAR ARTURO ULLOA ROCHA"/>
    <s v="Reabierto"/>
    <s v="3ERO RENAULT COLOR BLANCO"/>
    <s v="JALISCO"/>
    <x v="0"/>
    <s v="18:18"/>
    <m/>
    <d v="2018-10-19T00:00:00"/>
    <x v="0"/>
    <n v="33"/>
    <m/>
    <x v="15"/>
    <x v="2"/>
    <x v="8"/>
    <m/>
    <x v="9"/>
    <s v="CESAR ARTURO ULLOA ROCHA"/>
  </r>
  <r>
    <s v="00000264968785"/>
    <s v="1"/>
    <s v="36868"/>
    <n v="0"/>
    <n v="19119.48"/>
    <n v="0"/>
    <n v="0"/>
    <n v="28619.040000000001"/>
    <n v="4346.54"/>
    <n v="0"/>
    <n v="0"/>
    <n v="0"/>
    <n v="357.91"/>
    <n v="33323.49"/>
    <n v="0"/>
    <n v="4521.55"/>
    <n v="0"/>
    <n v="24097.49"/>
    <n v="0"/>
    <s v="20180224"/>
    <s v="G.N.P. ARRENDAMIENTO Y ADMINISTRACION DE FLOTILLAS"/>
    <s v="WB10B0603JZ932740"/>
    <n v="20171231"/>
    <n v="20181230"/>
    <m/>
    <s v="60250"/>
    <s v="Vigente"/>
    <s v="00000264753815"/>
    <s v="DISTRITO FEDERAL"/>
    <n v="2016"/>
    <s v="Privado"/>
    <s v="AVEO &quot;F&quot; STD EE ABS A.AC. MP3 B/A 4P"/>
    <s v="0086272424"/>
    <s v="CESAR MANUEL ORTIZ FONSECA"/>
    <s v="Pendiente"/>
    <s v="A MENOR"/>
    <s v="Mexico"/>
    <x v="6"/>
    <s v="16:44"/>
    <m/>
    <d v="2018-10-21T00:00:00"/>
    <x v="0"/>
    <n v="33"/>
    <m/>
    <x v="15"/>
    <x v="2"/>
    <x v="8"/>
    <m/>
    <x v="9"/>
    <s v="CESAR MANUEL ORTIZ FONSECA"/>
  </r>
  <r>
    <s v="00000266682988"/>
    <s v="1"/>
    <s v="36868"/>
    <n v="0"/>
    <n v="1178.8699999999999"/>
    <n v="0"/>
    <n v="0"/>
    <n v="24934.1"/>
    <n v="4706.12"/>
    <n v="0"/>
    <n v="0"/>
    <n v="0"/>
    <n v="0"/>
    <n v="29640.22"/>
    <n v="24934.1"/>
    <n v="0"/>
    <n v="0"/>
    <n v="0"/>
    <n v="0"/>
    <s v="20181027"/>
    <s v="G.N.P. ARRENDAMIENTO Y ADMINISTRACION DE FLOTILLAS"/>
    <s v="MA6CB5CD9JT048812"/>
    <n v="20180111"/>
    <n v="20181230"/>
    <m/>
    <s v="60250"/>
    <s v="Vigente"/>
    <s v="00000264753815"/>
    <s v="NUEVO LEON"/>
    <n v="2016"/>
    <s v="Privado"/>
    <s v="AVEO &quot;F&quot; STD EE ABS A.AC. MP3 B/A 4P"/>
    <s v="0086290996"/>
    <s v="ISRAEL MACIAS AYALA"/>
    <s v="Terminado"/>
    <s v="VS AVEO COLOR GRIS"/>
    <s v="NUEVO LEON"/>
    <x v="0"/>
    <s v="12:40"/>
    <m/>
    <d v="2018-10-22T00:00:00"/>
    <x v="0"/>
    <n v="33"/>
    <m/>
    <x v="15"/>
    <x v="2"/>
    <x v="8"/>
    <m/>
    <x v="9"/>
    <s v="ISRAEL MACIAS AYALA"/>
  </r>
  <r>
    <s v="00000269759338"/>
    <s v="1"/>
    <s v="36868"/>
    <n v="0"/>
    <n v="926.21"/>
    <n v="0"/>
    <n v="0"/>
    <n v="0"/>
    <n v="-1338.45"/>
    <n v="0"/>
    <n v="-15658"/>
    <n v="0"/>
    <n v="6735"/>
    <n v="-10261.450000000001"/>
    <n v="0"/>
    <n v="0"/>
    <n v="0"/>
    <n v="0"/>
    <n v="0"/>
    <s v="20181109"/>
    <s v="G.N.P. ARRENDAMIENTO Y ADMINISTRACION DE FLOTILLAS"/>
    <s v="9BD26555XJ9092822"/>
    <n v="20180226"/>
    <n v="20181230"/>
    <m/>
    <s v="60250"/>
    <s v="Vigente"/>
    <s v="00000264753815"/>
    <s v="DISTRITO FEDERAL"/>
    <n v="2018"/>
    <s v="Privado"/>
    <s v="AVEO LT SEDAN W STD"/>
    <s v="0086352267"/>
    <s v="JORGE ALBERTO FLORES SANTOS"/>
    <s v="Pendiente"/>
    <s v="3ERO VOYAGUER ARENA"/>
    <s v="TAMAULIPAS"/>
    <x v="0"/>
    <s v="21:35"/>
    <m/>
    <d v="2018-10-23T00:00:00"/>
    <x v="0"/>
    <n v="33"/>
    <m/>
    <x v="15"/>
    <x v="2"/>
    <x v="8"/>
    <m/>
    <x v="9"/>
    <s v="JORGE ALBERTO FLORES SANTOS"/>
  </r>
  <r>
    <s v="00000270447006"/>
    <s v="1"/>
    <s v="36868"/>
    <n v="-5431.58"/>
    <n v="53.95"/>
    <n v="0"/>
    <n v="0"/>
    <n v="2897.94"/>
    <n v="0"/>
    <n v="0"/>
    <n v="-2897.94"/>
    <n v="0"/>
    <n v="0"/>
    <n v="0"/>
    <n v="2897.94"/>
    <n v="0"/>
    <n v="0"/>
    <n v="0"/>
    <n v="0"/>
    <s v="20180413"/>
    <s v="G.N.P. ARRENDAMIENTO Y ADMINISTRACION DE FLOTILLAS"/>
    <s v="3G1TA5CF7JL184762"/>
    <n v="20180303"/>
    <n v="20181230"/>
    <m/>
    <s v="60250"/>
    <s v="Vigente"/>
    <s v="00000264753815"/>
    <s v="DISTRITO FEDERAL"/>
    <n v="2017"/>
    <s v="Privado"/>
    <s v="AVEO &quot;F&quot; STD EE ABS A.AC. MP3 B/A 4P"/>
    <s v="0086381969"/>
    <s v="JAVIER CASTORENA CASTRO"/>
    <s v="Terminado"/>
    <s v="3RO SEAT"/>
    <s v="Distrito Federal"/>
    <x v="0"/>
    <s v="16:57"/>
    <m/>
    <d v="2018-10-24T00:00:00"/>
    <x v="0"/>
    <n v="33"/>
    <m/>
    <x v="15"/>
    <x v="2"/>
    <x v="8"/>
    <m/>
    <x v="9"/>
    <s v="JAVIER CASTORENA CASTRO"/>
  </r>
  <r>
    <s v="00000270447014"/>
    <s v="1"/>
    <s v="36868"/>
    <n v="0"/>
    <n v="616.5"/>
    <n v="0"/>
    <n v="0"/>
    <n v="1500"/>
    <n v="3019.35"/>
    <n v="0"/>
    <n v="0"/>
    <n v="0"/>
    <n v="18629"/>
    <n v="23148.35"/>
    <n v="0"/>
    <n v="0"/>
    <n v="0"/>
    <n v="1500"/>
    <n v="0"/>
    <s v="20181024"/>
    <s v="G.N.P. ARRENDAMIENTO Y ADMINISTRACION DE FLOTILLAS"/>
    <s v="3G1TA5CF5JL197199"/>
    <n v="20180303"/>
    <n v="20181230"/>
    <m/>
    <s v="60250"/>
    <s v="Vigente"/>
    <s v="00000264758509"/>
    <s v="DISTRITO FEDERAL"/>
    <n v="2013"/>
    <s v="Ambulancia"/>
    <s v="FORD F-350 SUPER DUTY XL"/>
    <s v="0086380334"/>
    <s v="JUAN LUIS GUTIERREZ RUBIO"/>
    <s v="Reabierto"/>
    <s v="CON DOMO"/>
    <s v="Distrito Federal"/>
    <x v="0"/>
    <s v="16:29"/>
    <m/>
    <d v="2018-10-24T00:00:00"/>
    <x v="0"/>
    <n v="33"/>
    <m/>
    <x v="15"/>
    <x v="2"/>
    <x v="8"/>
    <m/>
    <x v="9"/>
    <s v="JUAN LUIS GUTIERREZ RUBIO"/>
  </r>
  <r>
    <s v="00000270447063"/>
    <s v="1"/>
    <s v="36868"/>
    <n v="0"/>
    <n v="1097.0999999999999"/>
    <n v="0"/>
    <n v="0"/>
    <n v="5754.54"/>
    <n v="-1485.52"/>
    <n v="0"/>
    <n v="-15658"/>
    <n v="0"/>
    <n v="0"/>
    <n v="-11388.98"/>
    <n v="5754.54"/>
    <n v="0"/>
    <n v="0"/>
    <n v="0"/>
    <n v="0"/>
    <s v="20180626"/>
    <s v="G.N.P. ARRENDAMIENTO Y ADMINISTRACION DE FLOTILLAS"/>
    <s v="3G1TA5CF8JL199383"/>
    <n v="20180303"/>
    <n v="20181230"/>
    <m/>
    <s v="60250"/>
    <s v="Vigente"/>
    <s v="00000264753815"/>
    <s v="TAMAULIPAS"/>
    <n v="2018"/>
    <s v="Privado"/>
    <s v="AVEO LT SEDAN W STD"/>
    <s v="0086373743"/>
    <s v="RAFAEL ANGEL TORRES GOLLADO"/>
    <s v="Pendiente"/>
    <s v="3RO EN LUGAR JIMY GMC"/>
    <s v="TAMAULIPAS"/>
    <x v="0"/>
    <s v="14:20"/>
    <m/>
    <d v="2018-10-24T00:00:00"/>
    <x v="0"/>
    <n v="33"/>
    <m/>
    <x v="15"/>
    <x v="2"/>
    <x v="8"/>
    <m/>
    <x v="9"/>
    <s v="RAFAEL ANGEL TORRES GOLLADO"/>
  </r>
  <r>
    <s v="00000270447063"/>
    <s v="1"/>
    <s v="36868"/>
    <n v="0"/>
    <n v="557.54"/>
    <n v="0"/>
    <n v="0"/>
    <n v="0"/>
    <n v="-2348.6999999999998"/>
    <n v="0"/>
    <n v="-15658"/>
    <n v="0"/>
    <n v="0"/>
    <n v="-18006.7"/>
    <n v="0"/>
    <n v="0"/>
    <n v="0"/>
    <n v="0"/>
    <n v="0"/>
    <s v="20180828"/>
    <s v="G.N.P. ARRENDAMIENTO Y ADMINISTRACION DE FLOTILLAS"/>
    <s v="3G1TA5CF8JL199383"/>
    <n v="20180303"/>
    <n v="20181230"/>
    <m/>
    <s v="60250"/>
    <s v="Vigente"/>
    <s v="00000264753815"/>
    <s v="DISTRITO FEDERAL"/>
    <n v="2018"/>
    <s v="Privado"/>
    <s v="AVEO LT SEDAN W STD"/>
    <s v="0086371812"/>
    <s v="JAVIER PACHECO VASQUEZ"/>
    <s v="Reabierto"/>
    <s v="SI HAY3RO AVEO GRIS PLACAS NCB5640"/>
    <s v="Distrito Federal"/>
    <x v="0"/>
    <s v="13:47"/>
    <m/>
    <d v="2018-10-24T00:00:00"/>
    <x v="0"/>
    <n v="33"/>
    <m/>
    <x v="15"/>
    <x v="2"/>
    <x v="8"/>
    <m/>
    <x v="9"/>
    <s v="JAVIER PACHECO VASQUEZ"/>
  </r>
  <r>
    <s v="00000270447089"/>
    <s v="1"/>
    <s v="36868"/>
    <n v="0"/>
    <n v="771.04"/>
    <n v="0"/>
    <n v="0"/>
    <n v="0"/>
    <n v="-1788.45"/>
    <n v="0"/>
    <n v="-15658"/>
    <n v="0"/>
    <n v="3735"/>
    <n v="-13711.45"/>
    <n v="0"/>
    <n v="0"/>
    <n v="0"/>
    <n v="0"/>
    <n v="0"/>
    <s v="20180613"/>
    <s v="G.N.P. ARRENDAMIENTO Y ADMINISTRACION DE FLOTILLAS"/>
    <s v="3G1TA5CF4JL198490"/>
    <n v="20180303"/>
    <n v="20181230"/>
    <m/>
    <s v="60250"/>
    <s v="Vigente"/>
    <s v="00000264756040"/>
    <s v="DISTRITO FEDERAL"/>
    <n v="2018"/>
    <s v="Privado"/>
    <s v="HONDA"/>
    <s v="0086454766"/>
    <s v="CARLOS CRUZ LEGORRETA"/>
    <s v="Pendiente"/>
    <s v="3RO PIPA DE GAS"/>
    <s v="Distrito Federal"/>
    <x v="0"/>
    <s v="14:39"/>
    <m/>
    <d v="2018-10-26T00:00:00"/>
    <x v="0"/>
    <n v="33"/>
    <m/>
    <x v="15"/>
    <x v="2"/>
    <x v="8"/>
    <m/>
    <x v="9"/>
    <s v="CARLOS CRUZ LEGORRETA"/>
  </r>
  <r>
    <s v="00000270447097"/>
    <s v="1"/>
    <s v="36868"/>
    <n v="0"/>
    <n v="4277.67"/>
    <n v="4714.84"/>
    <n v="4714.84"/>
    <n v="147693.62"/>
    <n v="22154.04"/>
    <n v="0"/>
    <n v="0"/>
    <n v="0"/>
    <n v="0"/>
    <n v="169847.66"/>
    <n v="143765.51999999999"/>
    <n v="3928.1"/>
    <n v="0"/>
    <n v="0"/>
    <n v="0"/>
    <s v="20180410"/>
    <s v="G.N.P. ARRENDAMIENTO Y ADMINISTRACION DE FLOTILLAS"/>
    <s v="3G1TA5CF1JL184028"/>
    <n v="20180303"/>
    <n v="20181230"/>
    <m/>
    <s v="60250"/>
    <s v="Vigente"/>
    <s v="00000264753815"/>
    <s v="DISTRITO FEDERAL"/>
    <n v="2018"/>
    <s v="Privado"/>
    <s v="CHEVROLET BEAT LT SEDAN BA AC RADIO STD"/>
    <s v="0086477759"/>
    <s v="DANTE BONILLA RIVERA"/>
    <s v="Reabierto"/>
    <s v="IMPACTA CONTRA LA BANQUETA"/>
    <s v="Mexico"/>
    <x v="0"/>
    <s v="12:13"/>
    <m/>
    <d v="2018-10-27T00:00:00"/>
    <x v="0"/>
    <n v="33"/>
    <m/>
    <x v="15"/>
    <x v="2"/>
    <x v="8"/>
    <m/>
    <x v="9"/>
    <s v="DANTE BONILLA RIVERA"/>
  </r>
  <r>
    <s v="00000270447154"/>
    <s v="1"/>
    <s v="36868"/>
    <n v="5431.58"/>
    <n v="3794.91"/>
    <n v="5431.58"/>
    <n v="5431.58"/>
    <n v="97407.56"/>
    <n v="14611.13"/>
    <n v="0"/>
    <n v="0"/>
    <n v="0"/>
    <n v="0"/>
    <n v="112018.69"/>
    <n v="81749.56"/>
    <n v="0"/>
    <n v="0"/>
    <n v="15658"/>
    <n v="0"/>
    <s v="20180523"/>
    <s v="G.N.P. ARRENDAMIENTO Y ADMINISTRACION DE FLOTILLAS"/>
    <s v="3G1TA5CF3JL187061"/>
    <n v="20180303"/>
    <n v="20181230"/>
    <m/>
    <s v="60250"/>
    <s v="Vigente"/>
    <s v="00000264753815"/>
    <s v="DISTRITO FEDERAL"/>
    <n v="2018"/>
    <s v="Privado"/>
    <s v="AVEO LT SEDAN W STD"/>
    <s v="0086506623"/>
    <s v="FRANCISCO GOMEZ HERNANDEZ"/>
    <s v="Reabierto"/>
    <s v="3ERO PIPA DE 3.5 BLANCO"/>
    <s v="Distrito Federal"/>
    <x v="0"/>
    <s v="09:51"/>
    <m/>
    <d v="2018-10-29T00:00:00"/>
    <x v="0"/>
    <n v="33"/>
    <m/>
    <x v="15"/>
    <x v="2"/>
    <x v="8"/>
    <m/>
    <x v="9"/>
    <s v="FRANCISCO GOMEZ HERNANDEZ"/>
  </r>
  <r>
    <s v="00000271498859"/>
    <s v="1"/>
    <s v="36868"/>
    <n v="0"/>
    <n v="544.82000000000005"/>
    <n v="0"/>
    <n v="0"/>
    <n v="15658"/>
    <n v="2348.6999999999998"/>
    <n v="0"/>
    <n v="0"/>
    <n v="0"/>
    <n v="0"/>
    <n v="18006.7"/>
    <n v="0"/>
    <n v="0"/>
    <n v="0"/>
    <n v="15658"/>
    <n v="0"/>
    <s v="20180821"/>
    <s v="G.N.P. ARRENDAMIENTO Y ADMINISTRACION DE FLOTILLAS"/>
    <s v="3G1TA5CF3JL238350"/>
    <n v="20180313"/>
    <n v="20181230"/>
    <m/>
    <s v="60250"/>
    <s v="Vigente"/>
    <s v="00000264753815"/>
    <s v="DISTRITO FEDERAL"/>
    <n v="2018"/>
    <s v="Privado"/>
    <s v="AVEO LT SEDAN W STD"/>
    <s v="0086547437"/>
    <s v="NOE ISRAEL BERNAL RICO"/>
    <s v="Pendiente"/>
    <s v="EN EL LUGAR CAMION BLANCO"/>
    <s v="Distrito Federal"/>
    <x v="0"/>
    <s v="09:10"/>
    <m/>
    <d v="2018-10-30T00:00:00"/>
    <x v="0"/>
    <n v="33"/>
    <m/>
    <x v="15"/>
    <x v="2"/>
    <x v="8"/>
    <m/>
    <x v="9"/>
    <s v="NOE ISRAEL BERNAL RICO"/>
  </r>
  <r>
    <s v="00000271498859"/>
    <s v="1"/>
    <s v="36868"/>
    <n v="0"/>
    <n v="544.82000000000005"/>
    <n v="0"/>
    <n v="0"/>
    <n v="0"/>
    <n v="-1788.45"/>
    <n v="0"/>
    <n v="-15658"/>
    <n v="0"/>
    <n v="3735"/>
    <n v="-13711.45"/>
    <n v="0"/>
    <n v="0"/>
    <n v="0"/>
    <n v="0"/>
    <n v="0"/>
    <s v="20181011"/>
    <s v="G.N.P. ARRENDAMIENTO Y ADMINISTRACION DE FLOTILLAS"/>
    <s v="3G1TA5CF3JL238350"/>
    <n v="20180313"/>
    <n v="20181230"/>
    <m/>
    <s v="60250"/>
    <s v="Vigente"/>
    <s v="00000264753815"/>
    <s v="DISTRITO FEDERAL"/>
    <n v="2018"/>
    <s v="Privado"/>
    <s v="AVEO LT SEDAN W STD"/>
    <s v="0086545696"/>
    <s v="MOISES VILLALPANDO ABUNDIS"/>
    <s v="Pendiente"/>
    <s v="3RO EN LUGAR HONDA BLANCO"/>
    <s v="JALISCO"/>
    <x v="0"/>
    <s v="08:28"/>
    <m/>
    <d v="2018-10-30T00:00:00"/>
    <x v="0"/>
    <n v="33"/>
    <m/>
    <x v="15"/>
    <x v="2"/>
    <x v="8"/>
    <m/>
    <x v="9"/>
    <s v="MOISES VILLALPANDO ABUNDIS"/>
  </r>
  <r>
    <s v="00000271498867"/>
    <s v="1"/>
    <s v="36868"/>
    <n v="0"/>
    <n v="1072.07"/>
    <n v="0"/>
    <n v="0"/>
    <n v="3317.28"/>
    <n v="-1851.11"/>
    <n v="0"/>
    <n v="-15658"/>
    <n v="0"/>
    <n v="0"/>
    <n v="-14191.83"/>
    <n v="3317.28"/>
    <n v="0"/>
    <n v="0"/>
    <n v="0"/>
    <n v="0"/>
    <s v="20180928"/>
    <s v="G.N.P. ARRENDAMIENTO Y ADMINISTRACION DE FLOTILLAS"/>
    <s v="3G1TA5CF3JL239241"/>
    <n v="20180313"/>
    <n v="20181230"/>
    <m/>
    <s v="60250"/>
    <s v="Vigente"/>
    <s v="00000264753815"/>
    <s v="GUANAJUATO"/>
    <n v="2017"/>
    <s v="Privado"/>
    <s v="AVEO &quot;F&quot; STD EE ABS A.AC. MP3 B/A 4P"/>
    <s v="0086592581"/>
    <s v="ESTACIONADO ESTACIONADO ESTACIONADO"/>
    <s v="Reabierto"/>
    <s v="SI HAY TERCERO HONDA ACORD"/>
    <s v="GUANAJUATO"/>
    <x v="0"/>
    <s v="11:14"/>
    <m/>
    <d v="2018-10-31T00:00:00"/>
    <x v="0"/>
    <n v="33"/>
    <m/>
    <x v="15"/>
    <x v="2"/>
    <x v="8"/>
    <m/>
    <x v="9"/>
    <s v="ESTACIONADO ESTACIONADO ESTACIONADO"/>
  </r>
  <r>
    <s v="00000271498958"/>
    <s v="1"/>
    <s v="36868"/>
    <n v="0"/>
    <n v="0"/>
    <n v="0"/>
    <n v="0"/>
    <n v="91732.68"/>
    <n v="12043.7"/>
    <n v="0"/>
    <n v="-15658"/>
    <n v="0"/>
    <n v="0"/>
    <n v="88118.38"/>
    <n v="91732.68"/>
    <n v="0"/>
    <n v="0"/>
    <n v="0"/>
    <n v="0"/>
    <s v="20180324"/>
    <s v="G.N.P. ARRENDAMIENTO Y ADMINISTRACION DE FLOTILLAS"/>
    <s v="3G1TA5CFXJL238913"/>
    <n v="20180313"/>
    <n v="20181230"/>
    <m/>
    <s v="60250"/>
    <s v="Vigente"/>
    <s v="00000264753815"/>
    <s v="DISTRITO FEDERAL"/>
    <n v="2018"/>
    <s v="Privado"/>
    <s v="AVEO LT SEDAN W STD"/>
    <s v="0086584422"/>
    <m/>
    <s v="Terminado"/>
    <s v="LATERALTRASERO DERECHO"/>
    <s v="GUANAJUATO"/>
    <x v="1"/>
    <s v="08:04"/>
    <m/>
    <d v="2018-10-31T00:00:00"/>
    <x v="0"/>
    <n v="33"/>
    <m/>
    <x v="15"/>
    <x v="2"/>
    <x v="8"/>
    <m/>
    <x v="9"/>
    <m/>
  </r>
  <r>
    <s v="00000277344347"/>
    <s v="1"/>
    <s v="36868"/>
    <n v="0"/>
    <n v="560.16"/>
    <n v="0"/>
    <n v="0"/>
    <n v="10016.23"/>
    <n v="1502.43"/>
    <n v="0"/>
    <n v="0"/>
    <n v="0"/>
    <n v="0"/>
    <n v="11518.66"/>
    <n v="0"/>
    <n v="0"/>
    <n v="0"/>
    <n v="10016.23"/>
    <n v="0"/>
    <s v="20180703"/>
    <s v="G.N.P. ARRENDAMIENTO Y ADMINISTRACION DE FLOTILLAS"/>
    <s v="3G1TA5CF4JL181396"/>
    <n v="20180507"/>
    <n v="20181230"/>
    <m/>
    <s v="60250"/>
    <s v="Vigente"/>
    <s v="00000264753815"/>
    <s v="DISTRITO FEDERAL"/>
    <n v="2017"/>
    <s v="Privado"/>
    <s v="AVEO &quot;F&quot; STD EE ABS A.AC. MP3 B/A 4P"/>
    <s v="0086650363"/>
    <s v="MARCO ANTONIO HERNANDEZ CORDERO"/>
    <s v="Reabierto"/>
    <s v="SI HAY 3RO"/>
    <s v="Mexico"/>
    <x v="0"/>
    <s v="19:30"/>
    <m/>
    <d v="2018-11-01T00:00:00"/>
    <x v="0"/>
    <n v="33"/>
    <m/>
    <x v="16"/>
    <x v="2"/>
    <x v="8"/>
    <m/>
    <x v="9"/>
    <s v="MARCO ANTONIO HERNANDEZ CORDERO"/>
  </r>
  <r>
    <s v="00000277344347"/>
    <s v="1"/>
    <s v="36868"/>
    <n v="0"/>
    <n v="560.16"/>
    <n v="0"/>
    <n v="0"/>
    <n v="0"/>
    <n v="2348.6999999999998"/>
    <n v="0"/>
    <n v="0"/>
    <n v="0"/>
    <n v="15658"/>
    <n v="18006.7"/>
    <n v="0"/>
    <n v="0"/>
    <n v="0"/>
    <n v="0"/>
    <n v="0"/>
    <s v="20180720"/>
    <s v="G.N.P. ARRENDAMIENTO Y ADMINISTRACION DE FLOTILLAS"/>
    <s v="3G1TA5CF4JL181396"/>
    <n v="20180507"/>
    <n v="20181230"/>
    <m/>
    <s v="60250"/>
    <s v="Vigente"/>
    <s v="00000264753815"/>
    <s v="TABASCO"/>
    <n v="2017"/>
    <s v="Privado"/>
    <s v="AVEO &quot;F&quot; STD EE ABS A.AC. MP3 B/A 4P"/>
    <s v="0086718053"/>
    <s v="JUAN JOSE TORRES TOLENTINO"/>
    <s v="Reabierto"/>
    <s v="3ERO TACOMA ROJO"/>
    <s v="Veracruz"/>
    <x v="0"/>
    <s v="15:30"/>
    <m/>
    <d v="2018-11-05T00:00:00"/>
    <x v="0"/>
    <n v="33"/>
    <m/>
    <x v="16"/>
    <x v="2"/>
    <x v="8"/>
    <m/>
    <x v="9"/>
    <s v="JUAN JOSE TORRES TOLENTINO"/>
  </r>
  <r>
    <s v="00000277344347"/>
    <s v="1"/>
    <s v="36868"/>
    <n v="0"/>
    <n v="1102.25"/>
    <n v="0"/>
    <n v="0"/>
    <n v="33313.49"/>
    <n v="4997.0200000000004"/>
    <n v="0"/>
    <n v="0"/>
    <n v="0"/>
    <n v="0"/>
    <n v="38310.51"/>
    <n v="30063.49"/>
    <n v="3250"/>
    <n v="0"/>
    <n v="0"/>
    <n v="0"/>
    <s v="20181030"/>
    <s v="G.N.P. ARRENDAMIENTO Y ADMINISTRACION DE FLOTILLAS"/>
    <s v="3G1TA5CF4JL181396"/>
    <n v="20180507"/>
    <n v="20181230"/>
    <m/>
    <s v="60250"/>
    <s v="Vigente"/>
    <s v="00000264753815"/>
    <s v="DISTRITO FEDERAL"/>
    <n v="2018"/>
    <s v="Privado"/>
    <s v="AVEO LT SEDAN W STD"/>
    <s v="0086773314"/>
    <s v="JAIME ANTONIO FELIX GUTIERREZ"/>
    <s v="Reabierto"/>
    <s v="3ERO MALIBU GRIS"/>
    <s v="BAJA CALIFORNIA"/>
    <x v="0"/>
    <s v="21:11"/>
    <m/>
    <d v="2018-11-06T00:00:00"/>
    <x v="0"/>
    <n v="33"/>
    <m/>
    <x v="16"/>
    <x v="2"/>
    <x v="8"/>
    <m/>
    <x v="9"/>
    <s v="JAIME ANTONIO FELIX GUTIERREZ"/>
  </r>
  <r>
    <s v="00000277344529"/>
    <s v="1"/>
    <s v="36868"/>
    <n v="0"/>
    <n v="1102.25"/>
    <n v="0"/>
    <n v="0"/>
    <n v="3250"/>
    <n v="487.5"/>
    <n v="0"/>
    <n v="0"/>
    <n v="0"/>
    <n v="0"/>
    <n v="3737.5"/>
    <n v="0"/>
    <n v="0"/>
    <n v="0"/>
    <n v="3250"/>
    <n v="0"/>
    <s v="20181008"/>
    <s v="G.N.P. ARRENDAMIENTO Y ADMINISTRACION DE FLOTILLAS"/>
    <s v="3G1TA5CF4JL194715"/>
    <n v="20180507"/>
    <n v="20181230"/>
    <m/>
    <s v="60250"/>
    <s v="Vigente"/>
    <s v="00000264753815"/>
    <s v="TAMAULIPAS"/>
    <n v="2016"/>
    <s v="Privado"/>
    <s v="AVEO &quot;F&quot; STD EE ABS A.AC. MP3 B/A 4P"/>
    <s v="0086799129"/>
    <m/>
    <s v="Terminado"/>
    <s v="CRISTAL PARABRISAS"/>
    <s v="TAMAULIPAS"/>
    <x v="1"/>
    <s v="14:50"/>
    <m/>
    <d v="2018-11-07T00:00:00"/>
    <x v="0"/>
    <n v="33"/>
    <m/>
    <x v="16"/>
    <x v="2"/>
    <x v="8"/>
    <m/>
    <x v="9"/>
    <m/>
  </r>
  <r>
    <s v="00000277344685"/>
    <s v="1"/>
    <s v="36868"/>
    <n v="0"/>
    <n v="2204.4899999999998"/>
    <n v="4282.4799999999996"/>
    <n v="4282.4799999999996"/>
    <n v="9257.48"/>
    <n v="638.62"/>
    <n v="0"/>
    <n v="-5000"/>
    <n v="0"/>
    <n v="0"/>
    <n v="4896.1000000000004"/>
    <n v="9257.48"/>
    <n v="0"/>
    <n v="0"/>
    <n v="0"/>
    <n v="0"/>
    <s v="20180611"/>
    <s v="G.N.P. ARRENDAMIENTO Y ADMINISTRACION DE FLOTILLAS"/>
    <s v="3G1TA5CF6JL186762"/>
    <n v="20180507"/>
    <n v="20181230"/>
    <m/>
    <s v="60250"/>
    <s v="Vigente"/>
    <s v="00000264753815"/>
    <s v="DISTRITO FEDERAL"/>
    <n v="2016"/>
    <s v="Privado"/>
    <s v="AVEO &quot;F&quot; STD EE ABS A.AC. MP3 B/A 4P"/>
    <s v="0086811643"/>
    <s v="DANTE BONILLA RIVERA"/>
    <s v="Pendiente"/>
    <s v="3RO POINTER"/>
    <s v="Mexico"/>
    <x v="0"/>
    <s v="19:32"/>
    <m/>
    <d v="2018-11-07T00:00:00"/>
    <x v="0"/>
    <n v="33"/>
    <m/>
    <x v="16"/>
    <x v="2"/>
    <x v="8"/>
    <m/>
    <x v="9"/>
    <s v="DANTE BONILLA RIVERA"/>
  </r>
  <r>
    <s v="00000277345245"/>
    <s v="1"/>
    <s v="36868"/>
    <n v="0"/>
    <n v="1102.25"/>
    <n v="0"/>
    <n v="0"/>
    <n v="0"/>
    <n v="-2348.6999999999998"/>
    <n v="0"/>
    <n v="-15658"/>
    <n v="0"/>
    <n v="0"/>
    <n v="-18006.7"/>
    <n v="0"/>
    <n v="0"/>
    <n v="0"/>
    <n v="0"/>
    <n v="0"/>
    <s v="20180823"/>
    <s v="G.N.P. ARRENDAMIENTO Y ADMINISTRACION DE FLOTILLAS"/>
    <s v="3G1TA5CF5JL192519"/>
    <n v="20180507"/>
    <n v="20181230"/>
    <m/>
    <s v="60250"/>
    <s v="Vigente"/>
    <s v="00000264753815"/>
    <s v="NUEVO LEON"/>
    <n v="2017"/>
    <s v="Privado"/>
    <s v="AVEO &quot;F&quot; STD EE ABS A.AC. MP3 B/A 4P"/>
    <s v="0086792322"/>
    <s v="OMAR PICHARDO ROSALES"/>
    <s v="Pendiente"/>
    <s v="3RO ISUZU BLANCO CHASIS 2013"/>
    <s v="Mexico"/>
    <x v="0"/>
    <s v="12:57"/>
    <m/>
    <d v="2018-11-07T00:00:00"/>
    <x v="0"/>
    <n v="33"/>
    <m/>
    <x v="16"/>
    <x v="2"/>
    <x v="8"/>
    <m/>
    <x v="9"/>
    <s v="OMAR PICHARDO ROSALES"/>
  </r>
  <r>
    <s v="00000277345245"/>
    <s v="1"/>
    <s v="36868"/>
    <n v="0"/>
    <n v="1084.18"/>
    <n v="0"/>
    <n v="0"/>
    <n v="1807.18"/>
    <n v="271.08"/>
    <n v="0"/>
    <n v="0"/>
    <n v="0"/>
    <n v="0"/>
    <n v="2078.2600000000002"/>
    <n v="1807.18"/>
    <n v="0"/>
    <n v="0"/>
    <n v="0"/>
    <n v="0"/>
    <s v="20181108"/>
    <s v="G.N.P. ARRENDAMIENTO Y ADMINISTRACION DE FLOTILLAS"/>
    <s v="3G1TA5CF5JL192519"/>
    <n v="20180507"/>
    <n v="20181230"/>
    <m/>
    <s v="60250"/>
    <s v="Vigente"/>
    <s v="00000264775123"/>
    <s v="DISTRITO FEDERAL"/>
    <n v="2013"/>
    <s v="Grua"/>
    <s v="ISUZU ELF 400 CHASIS CABINA K STD"/>
    <s v="0086796182"/>
    <s v="JULIO VILLEGAS MARTINEZ"/>
    <s v="Terminado"/>
    <s v="SI HAY 3ERO AUTO"/>
    <s v="Distrito Federal"/>
    <x v="0"/>
    <s v="14:04"/>
    <m/>
    <d v="2018-11-07T00:00:00"/>
    <x v="0"/>
    <n v="33"/>
    <m/>
    <x v="16"/>
    <x v="2"/>
    <x v="8"/>
    <m/>
    <x v="9"/>
    <s v="JULIO VILLEGAS MARTINEZ"/>
  </r>
  <r>
    <s v="00000277345245"/>
    <s v="1"/>
    <s v="36868"/>
    <n v="0"/>
    <n v="0"/>
    <n v="0"/>
    <n v="0"/>
    <n v="0"/>
    <n v="4625.7700000000004"/>
    <n v="0"/>
    <n v="-15658"/>
    <n v="0"/>
    <n v="43429.79"/>
    <n v="32397.56"/>
    <n v="0"/>
    <n v="0"/>
    <n v="0"/>
    <n v="0"/>
    <n v="0"/>
    <s v="20181215"/>
    <s v="G.N.P. ARRENDAMIENTO Y ADMINISTRACION DE FLOTILLAS"/>
    <s v="3G1TA5CF5JL192519"/>
    <n v="20180507"/>
    <n v="20181230"/>
    <m/>
    <s v="60250"/>
    <s v="Vigente"/>
    <s v="00000264753815"/>
    <s v="NUEVO LEON"/>
    <n v="2017"/>
    <s v="Privado"/>
    <s v="AVEO &quot;F&quot; STD EE ABS A.AC. MP3 B/A 4P"/>
    <s v="0086843083"/>
    <s v="ALEJANDRO GONZALEZ LIMON"/>
    <s v="Pendiente"/>
    <s v="3RO NISSAN KICK GRIS"/>
    <s v="NUEVO LEON"/>
    <x v="0"/>
    <s v="16:41"/>
    <m/>
    <d v="2018-11-08T00:00:00"/>
    <x v="0"/>
    <n v="33"/>
    <m/>
    <x v="16"/>
    <x v="2"/>
    <x v="8"/>
    <m/>
    <x v="9"/>
    <s v="ALEJANDRO GONZALEZ LIMON"/>
  </r>
  <r>
    <s v="00000277345351"/>
    <s v="1"/>
    <s v="36868"/>
    <n v="0"/>
    <n v="1084.18"/>
    <n v="0"/>
    <n v="0"/>
    <n v="1604"/>
    <n v="-2108.1"/>
    <n v="0"/>
    <n v="-15658"/>
    <n v="0"/>
    <n v="0"/>
    <n v="-16162.1"/>
    <n v="1604"/>
    <n v="0"/>
    <n v="0"/>
    <n v="0"/>
    <n v="0"/>
    <s v="20180919"/>
    <s v="G.N.P. ARRENDAMIENTO Y ADMINISTRACION DE FLOTILLAS"/>
    <s v="3G1TA5CF3JL199758"/>
    <n v="20180507"/>
    <n v="20181230"/>
    <m/>
    <s v="60250"/>
    <s v="Vigente"/>
    <s v="00000264753815"/>
    <s v="DISTRITO FEDERAL"/>
    <n v="2017"/>
    <s v="Privado"/>
    <s v="AVEO &quot;F&quot; STD EE ABS A.AC. MP3 B/A 4P"/>
    <s v="0086827938"/>
    <s v="PEDRO FRANCISCO ORTU#O ROSALES"/>
    <s v="Pendiente"/>
    <s v="3RO PLATINA CAFE"/>
    <s v="Distrito Federal"/>
    <x v="0"/>
    <s v="11:56"/>
    <m/>
    <d v="2018-11-08T00:00:00"/>
    <x v="0"/>
    <n v="33"/>
    <m/>
    <x v="16"/>
    <x v="2"/>
    <x v="8"/>
    <m/>
    <x v="9"/>
    <s v="PEDRO FRANCISCO ORTU#O ROSALES"/>
  </r>
  <r>
    <s v="00000277345450"/>
    <s v="1"/>
    <s v="36868"/>
    <n v="0"/>
    <n v="1102.25"/>
    <n v="0"/>
    <n v="0"/>
    <n v="2520"/>
    <n v="378"/>
    <n v="0"/>
    <n v="0"/>
    <n v="0"/>
    <n v="0"/>
    <n v="2898"/>
    <n v="2520"/>
    <n v="0"/>
    <n v="0"/>
    <n v="0"/>
    <n v="0"/>
    <s v="20180626"/>
    <s v="G.N.P. ARRENDAMIENTO Y ADMINISTRACION DE FLOTILLAS"/>
    <s v="3G1TA5CF3JL192664"/>
    <n v="20180507"/>
    <n v="20181230"/>
    <m/>
    <s v="60250"/>
    <s v="Vigente"/>
    <s v="00000264753815"/>
    <s v="DISTRITO FEDERAL"/>
    <n v="2018"/>
    <s v="Privado"/>
    <s v="AVEO LT SEDAN W STD"/>
    <s v="0086833613"/>
    <m/>
    <s v="Terminado"/>
    <s v="CR PARABRISAS _x000a_"/>
    <s v="Distrito Federal"/>
    <x v="1"/>
    <s v="13:42"/>
    <m/>
    <d v="2018-11-08T00:00:00"/>
    <x v="0"/>
    <n v="33"/>
    <m/>
    <x v="16"/>
    <x v="2"/>
    <x v="8"/>
    <m/>
    <x v="9"/>
    <m/>
  </r>
  <r>
    <s v="00000277345476"/>
    <s v="1"/>
    <s v="36868"/>
    <n v="0"/>
    <n v="1644.33"/>
    <n v="4282.4799999999996"/>
    <n v="4282.4799999999996"/>
    <n v="14351.72"/>
    <n v="-683.44"/>
    <n v="0"/>
    <n v="-18908"/>
    <n v="0"/>
    <n v="0"/>
    <n v="-5239.72"/>
    <n v="11101.72"/>
    <n v="3250"/>
    <n v="0"/>
    <n v="0"/>
    <n v="0"/>
    <s v="20180609"/>
    <s v="G.N.P. ARRENDAMIENTO Y ADMINISTRACION DE FLOTILLAS"/>
    <s v="3G1TA5CF3JL190235"/>
    <n v="20180507"/>
    <n v="20181230"/>
    <m/>
    <s v="60250"/>
    <s v="Vigente"/>
    <s v="00000264753815"/>
    <s v="DISTRITO FEDERAL"/>
    <n v="2018"/>
    <s v="Privado"/>
    <s v="AVEO LT SEDAN W STD"/>
    <s v="0086837499"/>
    <s v="CESAR ARTURO ULLOA ROCHA"/>
    <s v="Terminado"/>
    <s v="3RO AVEO"/>
    <s v="JALISCO"/>
    <x v="0"/>
    <s v="14:48"/>
    <m/>
    <d v="2018-11-08T00:00:00"/>
    <x v="0"/>
    <n v="33"/>
    <m/>
    <x v="16"/>
    <x v="2"/>
    <x v="8"/>
    <m/>
    <x v="9"/>
    <s v="CESAR ARTURO ULLOA ROCHA"/>
  </r>
  <r>
    <s v="00000277345567"/>
    <s v="1"/>
    <s v="36868"/>
    <n v="0"/>
    <n v="1102.25"/>
    <n v="0"/>
    <n v="0"/>
    <n v="0"/>
    <n v="-1788.45"/>
    <n v="0"/>
    <n v="-15658"/>
    <n v="0"/>
    <n v="3735"/>
    <n v="-13711.45"/>
    <n v="0"/>
    <n v="0"/>
    <n v="0"/>
    <n v="0"/>
    <n v="0"/>
    <s v="20181019"/>
    <s v="G.N.P. ARRENDAMIENTO Y ADMINISTRACION DE FLOTILLAS"/>
    <s v="3G1TA5CF1JL183767"/>
    <n v="20180507"/>
    <n v="20181230"/>
    <m/>
    <s v="60250"/>
    <s v="Vigente"/>
    <s v="00000264755588"/>
    <s v="DISTRITO FEDERAL"/>
    <n v="2018"/>
    <s v="Privado"/>
    <s v="RAM PROMASTER RAPID L4 1.4 2P STD"/>
    <s v="0086888088"/>
    <s v="RICARDO VILLA LARA"/>
    <s v="Pendiente"/>
    <s v="KIA AZUL"/>
    <s v="Distrito Federal"/>
    <x v="0"/>
    <s v="18:01"/>
    <m/>
    <d v="2018-11-09T00:00:00"/>
    <x v="0"/>
    <n v="33"/>
    <m/>
    <x v="16"/>
    <x v="2"/>
    <x v="8"/>
    <m/>
    <x v="9"/>
    <s v="RICARDO VILLA LARA"/>
  </r>
  <r>
    <s v="00000277345567"/>
    <s v="1"/>
    <s v="36868"/>
    <n v="0"/>
    <n v="0"/>
    <n v="0"/>
    <n v="0"/>
    <n v="15658"/>
    <n v="2348.6999999999998"/>
    <n v="0"/>
    <n v="0"/>
    <n v="0"/>
    <n v="0"/>
    <n v="18006.7"/>
    <n v="0"/>
    <n v="0"/>
    <n v="0"/>
    <n v="15658"/>
    <n v="0"/>
    <s v="20181108"/>
    <s v="G.N.P. ARRENDAMIENTO Y ADMINISTRACION DE FLOTILLAS"/>
    <s v="3G1TA5CF1JL183767"/>
    <n v="20180507"/>
    <n v="20181230"/>
    <m/>
    <s v="60250"/>
    <s v="Vigente"/>
    <s v="00000264753815"/>
    <s v="MICHOACAN"/>
    <n v="2016"/>
    <s v="Privado"/>
    <s v="AVEO &quot;F&quot; STD EE ABS A.AC. MP3 B/A 4P"/>
    <s v="0086943685"/>
    <s v="OMAR FELIPE CORTES RAYA"/>
    <s v="Reabierto"/>
    <s v="3RO CHRISLER // ARENA // EN EL LUGAR"/>
    <s v="MICHOACAN"/>
    <x v="0"/>
    <s v="12:19"/>
    <m/>
    <d v="2018-11-12T00:00:00"/>
    <x v="0"/>
    <n v="33"/>
    <m/>
    <x v="16"/>
    <x v="2"/>
    <x v="8"/>
    <m/>
    <x v="9"/>
    <s v="OMAR FELIPE CORTES RAYA"/>
  </r>
  <r>
    <s v="00000277345617"/>
    <s v="1"/>
    <s v="36868"/>
    <n v="0"/>
    <n v="1084.18"/>
    <n v="0"/>
    <n v="0"/>
    <n v="480.33"/>
    <n v="410.29"/>
    <n v="0"/>
    <n v="-192.06"/>
    <n v="0"/>
    <n v="2447"/>
    <n v="3145.56"/>
    <n v="480.33"/>
    <n v="0"/>
    <n v="0"/>
    <n v="0"/>
    <n v="0"/>
    <s v="20181112"/>
    <s v="G.N.P. ARRENDAMIENTO Y ADMINISTRACION DE FLOTILLAS"/>
    <s v="3G1TA5CF3JL187206"/>
    <n v="20180507"/>
    <n v="20181230"/>
    <m/>
    <s v="60250"/>
    <s v="Vigente"/>
    <s v="00000264753815"/>
    <s v="DISTRITO FEDERAL"/>
    <n v="2018"/>
    <s v="Privado"/>
    <s v="AVEO LT SEDAN W STD"/>
    <s v="0086959392"/>
    <m/>
    <s v="Pendiente"/>
    <s v="CR LATERAL DERECHO"/>
    <s v="Sinaloa"/>
    <x v="1"/>
    <s v="17:11"/>
    <m/>
    <d v="2018-11-12T00:00:00"/>
    <x v="0"/>
    <n v="33"/>
    <m/>
    <x v="16"/>
    <x v="2"/>
    <x v="8"/>
    <m/>
    <x v="9"/>
    <m/>
  </r>
  <r>
    <s v="00000277345641"/>
    <s v="1"/>
    <s v="36868"/>
    <n v="0"/>
    <n v="542.09"/>
    <n v="0"/>
    <n v="0"/>
    <n v="0"/>
    <n v="478.07"/>
    <n v="0"/>
    <n v="0"/>
    <n v="0"/>
    <n v="3187.11"/>
    <n v="3665.18"/>
    <n v="0"/>
    <n v="0"/>
    <n v="0"/>
    <n v="0"/>
    <n v="0"/>
    <s v="20181106"/>
    <s v="G.N.P. ARRENDAMIENTO Y ADMINISTRACION DE FLOTILLAS"/>
    <s v="3G1TA5CF3JL189229"/>
    <n v="20180507"/>
    <n v="20181230"/>
    <m/>
    <s v="60250"/>
    <s v="Vigente"/>
    <s v="00000264753815"/>
    <s v="NUEVO LEON"/>
    <n v="2017"/>
    <s v="Privado"/>
    <s v="AVEO &quot;F&quot; STD EE ABS A.AC. MP3 B/A 4P"/>
    <s v="0087006565"/>
    <s v="JOEL GUADALUPE MIRANDA HERNANDEZ"/>
    <s v="Pendiente"/>
    <s v="SI HAY 3ER TIGUAN 2018 BLANCA"/>
    <s v="NUEVO LEON"/>
    <x v="0"/>
    <s v="19:51"/>
    <m/>
    <d v="2018-11-13T00:00:00"/>
    <x v="0"/>
    <n v="33"/>
    <m/>
    <x v="16"/>
    <x v="2"/>
    <x v="8"/>
    <m/>
    <x v="9"/>
    <s v="JOEL GUADALUPE MIRANDA HERNANDEZ"/>
  </r>
  <r>
    <s v="00000277345641"/>
    <s v="1"/>
    <s v="36868"/>
    <n v="0"/>
    <n v="542.09"/>
    <n v="0"/>
    <n v="0"/>
    <n v="3925.73"/>
    <n v="18835.8"/>
    <n v="0"/>
    <n v="0"/>
    <n v="62582.89"/>
    <n v="181009.18"/>
    <n v="141187.82"/>
    <n v="0"/>
    <n v="3925.73"/>
    <n v="0"/>
    <n v="0"/>
    <n v="0"/>
    <s v="20181222"/>
    <s v="G.N.P. ARRENDAMIENTO Y ADMINISTRACION DE FLOTILLAS"/>
    <s v="3G1TA5CF3JL189229"/>
    <n v="20180507"/>
    <n v="20181230"/>
    <m/>
    <s v="60250"/>
    <s v="Vigente"/>
    <s v="00000264753815"/>
    <s v="DISTRITO FEDERAL"/>
    <n v="2018"/>
    <s v="Privado"/>
    <s v="AVEO LT SEDAN W STD"/>
    <s v="0086993557"/>
    <s v="OSCAR ALEJANDRO SILVA MENDOZA"/>
    <s v="Pendiente"/>
    <s v="SI 3ERO TOYOTA RAV 4 BLANCO"/>
    <s v="JALISCO"/>
    <x v="0"/>
    <s v="14:49"/>
    <m/>
    <d v="2018-11-13T00:00:00"/>
    <x v="0"/>
    <n v="33"/>
    <m/>
    <x v="16"/>
    <x v="2"/>
    <x v="8"/>
    <m/>
    <x v="9"/>
    <s v="OSCAR ALEJANDRO SILVA MENDOZA"/>
  </r>
  <r>
    <s v="00000277345724"/>
    <s v="1"/>
    <s v="36868"/>
    <n v="0"/>
    <n v="1680.47"/>
    <n v="0"/>
    <n v="0"/>
    <n v="0"/>
    <n v="-1788.45"/>
    <n v="0"/>
    <n v="-15658"/>
    <n v="0"/>
    <n v="3735"/>
    <n v="-13711.45"/>
    <n v="0"/>
    <n v="0"/>
    <n v="0"/>
    <n v="0"/>
    <n v="0"/>
    <s v="20180728"/>
    <s v="G.N.P. ARRENDAMIENTO Y ADMINISTRACION DE FLOTILLAS"/>
    <s v="3G1TA5CF0JL197160"/>
    <n v="20180507"/>
    <n v="20181230"/>
    <m/>
    <s v="60250"/>
    <s v="Vigente"/>
    <s v="00000264753815"/>
    <s v="NUEVO LEON"/>
    <n v="2017"/>
    <s v="Privado"/>
    <s v="AVEO &quot;F&quot; STD EE ABS A.AC. MP3 B/A 4P"/>
    <s v="0087026324"/>
    <s v="GERARDO MATA LOZANO"/>
    <s v="Terminado"/>
    <s v="3RO MINI COOPER GRIS"/>
    <s v="NUEVO LEON"/>
    <x v="0"/>
    <s v="12:37"/>
    <m/>
    <d v="2018-11-14T00:00:00"/>
    <x v="0"/>
    <n v="33"/>
    <m/>
    <x v="16"/>
    <x v="2"/>
    <x v="8"/>
    <m/>
    <x v="9"/>
    <s v="GERARDO MATA LOZANO"/>
  </r>
  <r>
    <s v="00000277345732"/>
    <s v="1"/>
    <s v="36868"/>
    <n v="0"/>
    <n v="542.09"/>
    <n v="0"/>
    <n v="0"/>
    <n v="0"/>
    <n v="-1934.7"/>
    <n v="0"/>
    <n v="-15658"/>
    <n v="0"/>
    <n v="0"/>
    <n v="-17592.7"/>
    <n v="0"/>
    <n v="0"/>
    <n v="0"/>
    <n v="0"/>
    <n v="0"/>
    <s v="20180821"/>
    <s v="G.N.P. ARRENDAMIENTO Y ADMINISTRACION DE FLOTILLAS"/>
    <s v="3G1TA5CF0JL197479"/>
    <n v="20180507"/>
    <n v="20181230"/>
    <m/>
    <s v="60250"/>
    <s v="Vigente"/>
    <s v="00000264753815"/>
    <s v="DISTRITO FEDERAL"/>
    <n v="2018"/>
    <s v="Privado"/>
    <s v="AVEO LT SEDAN W STD"/>
    <s v="0087041380"/>
    <s v="EDUARDO HERNANDEZ CAMPOS"/>
    <s v="Reabierto"/>
    <s v="3ERO MAZDA GRIS"/>
    <s v="Distrito Federal"/>
    <x v="0"/>
    <s v="17:36"/>
    <m/>
    <d v="2018-11-14T00:00:00"/>
    <x v="0"/>
    <n v="33"/>
    <m/>
    <x v="16"/>
    <x v="2"/>
    <x v="8"/>
    <m/>
    <x v="9"/>
    <s v="EDUARDO HERNANDEZ CAMPOS"/>
  </r>
  <r>
    <s v="00000277345823"/>
    <s v="1"/>
    <s v="36868"/>
    <n v="0"/>
    <n v="1662.4"/>
    <n v="4282.4799999999996"/>
    <n v="4282.4799999999996"/>
    <n v="2405.9699999999998"/>
    <n v="-1427.55"/>
    <n v="0"/>
    <n v="-15658"/>
    <n v="0"/>
    <n v="3735"/>
    <n v="-10944.58"/>
    <n v="0"/>
    <n v="2405.9699999999998"/>
    <n v="0"/>
    <n v="0"/>
    <n v="0"/>
    <s v="20180611"/>
    <s v="G.N.P. ARRENDAMIENTO Y ADMINISTRACION DE FLOTILLAS"/>
    <s v="3G1TA5CF8JL194460"/>
    <n v="20180507"/>
    <n v="20181230"/>
    <m/>
    <s v="60250"/>
    <s v="Vigente"/>
    <s v="00000264753815"/>
    <s v="DISTRITO FEDERAL"/>
    <n v="2018"/>
    <s v="Privado"/>
    <s v="AVEO LT SEDAN W STD"/>
    <s v="0087010898"/>
    <s v="CARLOS ARELLANO SUCEDO"/>
    <s v="Reabierto"/>
    <s v="IGMOGONZ"/>
    <s v="Distrito Federal"/>
    <x v="0"/>
    <s v="04:55"/>
    <m/>
    <d v="2018-11-14T00:00:00"/>
    <x v="0"/>
    <n v="33"/>
    <m/>
    <x v="16"/>
    <x v="2"/>
    <x v="8"/>
    <m/>
    <x v="9"/>
    <s v="CARLOS ARELLANO SUCEDO"/>
  </r>
  <r>
    <s v="00000277345898"/>
    <s v="1"/>
    <s v="36868"/>
    <n v="0"/>
    <n v="1102.25"/>
    <n v="0"/>
    <n v="0"/>
    <n v="1500"/>
    <n v="-1338.45"/>
    <n v="0"/>
    <n v="-15658"/>
    <n v="0"/>
    <n v="5235"/>
    <n v="-10261.450000000001"/>
    <n v="0"/>
    <n v="1500"/>
    <n v="0"/>
    <n v="0"/>
    <n v="0"/>
    <s v="20181030"/>
    <s v="G.N.P. ARRENDAMIENTO Y ADMINISTRACION DE FLOTILLAS"/>
    <s v="3G1TA5CF0JL184067"/>
    <n v="20180507"/>
    <n v="20181230"/>
    <m/>
    <s v="60250"/>
    <s v="Vigente"/>
    <s v="00000264753815"/>
    <s v="PUEBLA"/>
    <n v="2016"/>
    <s v="Privado"/>
    <s v="AVEO &quot;F&quot; STD EE ABS A.AC. MP3 B/A 4P"/>
    <s v="0087208393"/>
    <s v="ROBERTO CARLOS FUENTES RODRIGUEZ"/>
    <s v="Pendiente"/>
    <s v="3RO CHEVY"/>
    <s v="PUEBLA"/>
    <x v="0"/>
    <s v="17:12"/>
    <m/>
    <d v="2018-11-20T00:00:00"/>
    <x v="0"/>
    <n v="33"/>
    <m/>
    <x v="16"/>
    <x v="2"/>
    <x v="8"/>
    <m/>
    <x v="9"/>
    <s v="ROBERTO CARLOS FUENTES RODRIGUEZ"/>
  </r>
  <r>
    <s v="00000277345955"/>
    <s v="1"/>
    <s v="36868"/>
    <n v="0"/>
    <n v="542.09"/>
    <n v="0"/>
    <n v="0"/>
    <n v="0"/>
    <n v="1164.76"/>
    <n v="0"/>
    <n v="-15658"/>
    <n v="0"/>
    <n v="23423.040000000001"/>
    <n v="8929.7999999999993"/>
    <n v="0"/>
    <n v="0"/>
    <n v="0"/>
    <n v="0"/>
    <n v="0"/>
    <s v="20181121"/>
    <s v="G.N.P. ARRENDAMIENTO Y ADMINISTRACION DE FLOTILLAS"/>
    <s v="3G1TA5CF0JL188765"/>
    <n v="20180507"/>
    <n v="20181230"/>
    <m/>
    <s v="60250"/>
    <s v="Vigente"/>
    <s v="00000264753815"/>
    <s v="PUEBLA"/>
    <n v="2017"/>
    <s v="Privado"/>
    <s v="AVEO &quot;F&quot; STD EE ABS A.AC. MP3 B/A 4P"/>
    <s v="0087248431"/>
    <s v="VICTOR CRUZ BARRERA"/>
    <s v="Pendiente"/>
    <s v="3RO CAMIONETA NISSAN XTRAIL"/>
    <s v="PUEBLA"/>
    <x v="0"/>
    <s v="16:52"/>
    <m/>
    <d v="2018-11-21T00:00:00"/>
    <x v="0"/>
    <n v="33"/>
    <m/>
    <x v="16"/>
    <x v="2"/>
    <x v="8"/>
    <m/>
    <x v="9"/>
    <s v="VICTOR CRUZ BARRERA"/>
  </r>
  <r>
    <s v="00000277345997"/>
    <s v="1"/>
    <s v="36868"/>
    <n v="0"/>
    <n v="560.16"/>
    <n v="0"/>
    <n v="0"/>
    <n v="18045.95"/>
    <n v="358.19"/>
    <n v="0"/>
    <n v="-15658"/>
    <n v="0"/>
    <n v="0"/>
    <n v="2746.14"/>
    <n v="18045.95"/>
    <n v="0"/>
    <n v="0"/>
    <n v="0"/>
    <n v="0"/>
    <s v="20180707"/>
    <s v="G.N.P. ARRENDAMIENTO Y ADMINISTRACION DE FLOTILLAS"/>
    <s v="3G1TA5CF7JL200829"/>
    <n v="20180507"/>
    <n v="20181230"/>
    <m/>
    <s v="60250"/>
    <s v="Vigente"/>
    <s v="00000264756040"/>
    <s v="DISTRITO FEDERAL"/>
    <n v="2018"/>
    <s v="Privado"/>
    <s v="HONDA"/>
    <s v="0087228268"/>
    <s v="LUIS ALBERTO SOTO GARCIA"/>
    <s v="Pendiente"/>
    <s v="NO HAY 3RO"/>
    <s v="JALISCO"/>
    <x v="0"/>
    <s v="10:56"/>
    <m/>
    <d v="2018-11-21T00:00:00"/>
    <x v="0"/>
    <n v="33"/>
    <m/>
    <x v="16"/>
    <x v="2"/>
    <x v="8"/>
    <m/>
    <x v="9"/>
    <s v="LUIS ALBERTO SOTO GARCIA"/>
  </r>
  <r>
    <s v="00000277345997"/>
    <s v="1"/>
    <s v="36868"/>
    <n v="0"/>
    <n v="542.09"/>
    <n v="0"/>
    <n v="0"/>
    <n v="8382.2900000000009"/>
    <n v="357.34"/>
    <n v="0"/>
    <n v="-6000"/>
    <n v="0"/>
    <n v="0"/>
    <n v="2739.63"/>
    <n v="8382.2900000000009"/>
    <n v="0"/>
    <n v="0"/>
    <n v="0"/>
    <n v="0"/>
    <s v="20180626"/>
    <s v="G.N.P. ARRENDAMIENTO Y ADMINISTRACION DE FLOTILLAS"/>
    <s v="3G1TA5CF7JL200829"/>
    <n v="20180507"/>
    <n v="20181230"/>
    <m/>
    <s v="60250"/>
    <s v="Vigente"/>
    <s v="00000264753815"/>
    <s v="DISTRITO FEDERAL"/>
    <n v="2018"/>
    <s v="Privado"/>
    <s v="AVEO LT SEDAN W STD"/>
    <s v="0087230967"/>
    <s v="URIEL CHARGOY SERNA"/>
    <s v="Pendiente"/>
    <s v="3RO TOYOTA VERDE"/>
    <s v="PUEBLA"/>
    <x v="0"/>
    <s v="11:50"/>
    <m/>
    <d v="2018-11-21T00:00:00"/>
    <x v="0"/>
    <n v="33"/>
    <m/>
    <x v="16"/>
    <x v="2"/>
    <x v="8"/>
    <m/>
    <x v="9"/>
    <s v="URIEL CHARGOY SERNA"/>
  </r>
  <r>
    <s v="00000277346052"/>
    <s v="1"/>
    <s v="36868"/>
    <n v="0"/>
    <n v="1662.4"/>
    <n v="4282.4799999999996"/>
    <n v="4282.4799999999996"/>
    <n v="0"/>
    <n v="515.25"/>
    <n v="0"/>
    <n v="-300"/>
    <n v="0"/>
    <n v="3735"/>
    <n v="3950.25"/>
    <n v="0"/>
    <n v="0"/>
    <n v="0"/>
    <n v="0"/>
    <n v="0"/>
    <s v="20180619"/>
    <s v="G.N.P. ARRENDAMIENTO Y ADMINISTRACION DE FLOTILLAS"/>
    <s v="3G1TA5CFXJL196937"/>
    <n v="20180507"/>
    <n v="20181230"/>
    <m/>
    <s v="60250"/>
    <s v="Vigente"/>
    <s v="00000264756040"/>
    <s v="JALISCO"/>
    <n v="2016"/>
    <s v="Privado"/>
    <s v="HONDA"/>
    <s v="0087334975"/>
    <s v="CARLOS JONATHAN VIERA SOTO"/>
    <s v="Reabierto"/>
    <s v="VENTO NEGRO"/>
    <s v="JALISCO"/>
    <x v="0"/>
    <s v="18:05"/>
    <m/>
    <d v="2018-11-23T00:00:00"/>
    <x v="0"/>
    <n v="33"/>
    <m/>
    <x v="16"/>
    <x v="2"/>
    <x v="8"/>
    <m/>
    <x v="9"/>
    <s v="CARLOS JONATHAN VIERA SOTO"/>
  </r>
  <r>
    <s v="00000277346078"/>
    <s v="1"/>
    <s v="36868"/>
    <n v="0"/>
    <n v="1102.25"/>
    <n v="4282.4799999999996"/>
    <n v="4282.4799999999996"/>
    <n v="0"/>
    <n v="260.25"/>
    <n v="0"/>
    <n v="-2000"/>
    <n v="0"/>
    <n v="3735"/>
    <n v="1995.25"/>
    <n v="0"/>
    <n v="0"/>
    <n v="0"/>
    <n v="0"/>
    <n v="0"/>
    <s v="20180608"/>
    <s v="G.N.P. ARRENDAMIENTO Y ADMINISTRACION DE FLOTILLAS"/>
    <s v="3G1TA5CFXJL198266"/>
    <n v="20180507"/>
    <n v="20181230"/>
    <m/>
    <s v="60250"/>
    <s v="Vigente"/>
    <s v="00000264753815"/>
    <s v="DISTRITO FEDERAL"/>
    <n v="2017"/>
    <s v="Privado"/>
    <s v="AVEO &quot;F&quot; STD EE ABS A.AC. MP3 B/A 4P"/>
    <s v="0087387981"/>
    <s v="MARCOA ANTONIO CERVANTES GUIZAR"/>
    <s v="Terminado"/>
    <s v="3RO CHEVROLET ROJO"/>
    <s v="Distrito Federal"/>
    <x v="0"/>
    <s v="11:45"/>
    <m/>
    <d v="2018-11-26T00:00:00"/>
    <x v="0"/>
    <n v="33"/>
    <m/>
    <x v="16"/>
    <x v="2"/>
    <x v="8"/>
    <m/>
    <x v="9"/>
    <s v="MARCOA ANTONIO CERVANTES GUIZAR"/>
  </r>
  <r>
    <s v="00000277346102"/>
    <s v="1"/>
    <s v="36868"/>
    <n v="0"/>
    <n v="1680.47"/>
    <n v="0"/>
    <n v="0"/>
    <n v="16532.16"/>
    <n v="1363.07"/>
    <n v="0"/>
    <n v="-7445"/>
    <n v="0"/>
    <n v="0"/>
    <n v="10450.23"/>
    <n v="16532.16"/>
    <n v="0"/>
    <n v="0"/>
    <n v="0"/>
    <n v="0"/>
    <s v="20180725"/>
    <s v="G.N.P. ARRENDAMIENTO Y ADMINISTRACION DE FLOTILLAS"/>
    <s v="3G1TA5CF7JL194899"/>
    <n v="20180507"/>
    <n v="20181230"/>
    <m/>
    <s v="60250"/>
    <s v="Vigente"/>
    <s v="00000264753815"/>
    <s v="COAHUILA"/>
    <n v="2017"/>
    <s v="Privado"/>
    <s v="AVEO &quot;F&quot; STD EE ABS A.AC. MP3 B/A 4P"/>
    <s v="0087465092"/>
    <s v="LUIS ANTONIO CASTILLO ALVARADO"/>
    <s v="Pendiente"/>
    <s v="3RO BMW BLANCO"/>
    <s v="Coahuila"/>
    <x v="0"/>
    <s v="10:40"/>
    <m/>
    <d v="2018-11-28T00:00:00"/>
    <x v="0"/>
    <n v="33"/>
    <m/>
    <x v="16"/>
    <x v="2"/>
    <x v="8"/>
    <m/>
    <x v="9"/>
    <s v="LUIS ANTONIO CASTILLO ALVARADO"/>
  </r>
  <r>
    <s v="00000277346102"/>
    <s v="1"/>
    <s v="36868"/>
    <n v="0"/>
    <n v="0"/>
    <n v="0"/>
    <n v="0"/>
    <n v="0"/>
    <n v="986.7"/>
    <n v="0"/>
    <n v="0"/>
    <n v="0"/>
    <n v="6578"/>
    <n v="7564.7"/>
    <n v="0"/>
    <n v="0"/>
    <n v="0"/>
    <n v="0"/>
    <n v="0"/>
    <s v="20181011"/>
    <s v="G.N.P. ARRENDAMIENTO Y ADMINISTRACION DE FLOTILLAS"/>
    <s v="3G1TA5CF7JL194899"/>
    <n v="20180507"/>
    <n v="20181230"/>
    <m/>
    <s v="60250"/>
    <s v="Vigente"/>
    <s v="00000264753815"/>
    <s v="CHIHUAHUA"/>
    <n v="2017"/>
    <s v="Privado"/>
    <s v="AVEO &quot;F&quot; STD EE ABS A.AC. MP3 B/A 4P"/>
    <s v="0087571154"/>
    <s v="JUAN CARLOS RIVERA SANCHEZ"/>
    <s v="Reabierto"/>
    <s v="3RO FORD VINO"/>
    <s v="Chihuahua"/>
    <x v="0"/>
    <s v="18:47"/>
    <m/>
    <d v="2018-11-30T00:00:00"/>
    <x v="0"/>
    <n v="33"/>
    <m/>
    <x v="16"/>
    <x v="2"/>
    <x v="8"/>
    <m/>
    <x v="9"/>
    <s v="JUAN CARLOS RIVERA SANCHEZ"/>
  </r>
  <r>
    <s v="00000277346102"/>
    <s v="1"/>
    <s v="36868"/>
    <n v="0"/>
    <n v="542.09"/>
    <n v="0"/>
    <n v="0"/>
    <n v="0"/>
    <n v="560.25"/>
    <n v="0"/>
    <n v="-3000"/>
    <n v="0"/>
    <n v="6735"/>
    <n v="4295.25"/>
    <n v="0"/>
    <n v="0"/>
    <n v="0"/>
    <n v="0"/>
    <n v="0"/>
    <s v="20181113"/>
    <s v="G.N.P. ARRENDAMIENTO Y ADMINISTRACION DE FLOTILLAS"/>
    <s v="3G1TA5CF7JL194899"/>
    <n v="20180507"/>
    <n v="20181230"/>
    <m/>
    <s v="60250"/>
    <s v="Vigente"/>
    <s v="00000264753815"/>
    <s v="DURANGO"/>
    <n v="2017"/>
    <s v="Privado"/>
    <s v="AVEO &quot;F&quot; STD EE ABS A.AC. MP3 B/A 4P"/>
    <s v="0087570305"/>
    <s v="ESTACIONADO ESTACIONADO ESTACIONADO"/>
    <s v="Reabierto"/>
    <s v="3RO BMW GRIS"/>
    <s v="Durango"/>
    <x v="0"/>
    <s v="18:27"/>
    <m/>
    <d v="2018-11-30T00:00:00"/>
    <x v="0"/>
    <n v="33"/>
    <m/>
    <x v="16"/>
    <x v="2"/>
    <x v="8"/>
    <m/>
    <x v="9"/>
    <s v="ESTACIONADO ESTACIONADO ESTACIONADO"/>
  </r>
  <r>
    <s v="00000277346110"/>
    <s v="1"/>
    <s v="36868"/>
    <n v="0"/>
    <n v="542.09"/>
    <n v="4282.4799999999996"/>
    <n v="4282.4799999999996"/>
    <n v="0"/>
    <n v="1146.74"/>
    <n v="0"/>
    <n v="0"/>
    <n v="0"/>
    <n v="7644.91"/>
    <n v="8791.65"/>
    <n v="0"/>
    <n v="0"/>
    <n v="0"/>
    <n v="0"/>
    <n v="0"/>
    <s v="20180619"/>
    <s v="G.N.P. ARRENDAMIENTO Y ADMINISTRACION DE FLOTILLAS"/>
    <s v="3G1TA5CF7JL195499"/>
    <n v="20180507"/>
    <n v="20181230"/>
    <m/>
    <s v="60250"/>
    <s v="Vigente"/>
    <s v="00000264753815"/>
    <s v="NUEVO LEON"/>
    <n v="2017"/>
    <s v="Privado"/>
    <s v="AVEO &quot;F&quot; STD EE ABS A.AC. MP3 B/A 4P"/>
    <s v="0087606893"/>
    <s v="DARIO DE JESUS HERNANDEZ FABELA"/>
    <s v="Pendiente"/>
    <s v="COLISION"/>
    <s v="NUEVO LEON"/>
    <x v="0"/>
    <s v="23:56"/>
    <m/>
    <d v="2018-12-02T00:00:00"/>
    <x v="0"/>
    <n v="33"/>
    <m/>
    <x v="17"/>
    <x v="2"/>
    <x v="8"/>
    <m/>
    <x v="9"/>
    <s v="DARIO DE JESUS HERNANDEZ FABELA"/>
  </r>
  <r>
    <s v="00000277346110"/>
    <s v="1"/>
    <s v="36868"/>
    <n v="0"/>
    <n v="560.16"/>
    <n v="0"/>
    <n v="0"/>
    <n v="0"/>
    <n v="4231.05"/>
    <n v="0"/>
    <n v="0"/>
    <n v="0"/>
    <n v="28207"/>
    <n v="32438.05"/>
    <n v="0"/>
    <n v="0"/>
    <n v="0"/>
    <n v="0"/>
    <n v="0"/>
    <s v="20181023"/>
    <s v="G.N.P. ARRENDAMIENTO Y ADMINISTRACION DE FLOTILLAS"/>
    <s v="3G1TA5CF7JL195499"/>
    <n v="20180507"/>
    <n v="20181230"/>
    <m/>
    <s v="60250"/>
    <s v="Vigente"/>
    <s v="00000264753815"/>
    <s v="DISTRITO FEDERAL"/>
    <n v="2016"/>
    <s v="Privado"/>
    <s v="AVEO &quot;F&quot; STD EE ABS A.AC. MP3 B/A 4P"/>
    <s v="0087617601"/>
    <s v="ANDRES GARDU#O GARCIA"/>
    <s v="Pendiente"/>
    <s v="CL  CARAMBOLA // EN EL LUGAR"/>
    <s v="Distrito Federal"/>
    <x v="0"/>
    <s v="11:07"/>
    <m/>
    <d v="2018-12-03T00:00:00"/>
    <x v="0"/>
    <n v="33"/>
    <m/>
    <x v="17"/>
    <x v="2"/>
    <x v="8"/>
    <m/>
    <x v="9"/>
    <s v="ANDRES GARDU#O GARCIA"/>
  </r>
  <r>
    <s v="00000277346177"/>
    <s v="1"/>
    <s v="36868"/>
    <n v="0"/>
    <n v="542.09"/>
    <n v="0"/>
    <n v="0"/>
    <n v="0"/>
    <n v="-1788.45"/>
    <n v="0"/>
    <n v="-15658"/>
    <n v="0"/>
    <n v="3735"/>
    <n v="-13711.45"/>
    <n v="0"/>
    <n v="0"/>
    <n v="0"/>
    <n v="0"/>
    <n v="0"/>
    <s v="20181114"/>
    <s v="G.N.P. ARRENDAMIENTO Y ADMINISTRACION DE FLOTILLAS"/>
    <s v="3G1TA5CF7JL197382"/>
    <n v="20180507"/>
    <n v="20181230"/>
    <m/>
    <s v="60250"/>
    <s v="Vigente"/>
    <s v="00000264753815"/>
    <s v="DISTRITO FEDERAL"/>
    <n v="2018"/>
    <s v="Privado"/>
    <s v="AVEO LT SEDAN W STD"/>
    <s v="0087632741"/>
    <s v="EDUARDO HERNANDEZ CAMPOS"/>
    <s v="Pendiente"/>
    <s v="3RO  SUBURBAN  AZUL"/>
    <s v="Distrito Federal"/>
    <x v="0"/>
    <s v="15:55"/>
    <m/>
    <d v="2018-12-03T00:00:00"/>
    <x v="0"/>
    <n v="33"/>
    <m/>
    <x v="17"/>
    <x v="2"/>
    <x v="8"/>
    <m/>
    <x v="9"/>
    <s v="EDUARDO HERNANDEZ CAMPOS"/>
  </r>
  <r>
    <s v="00000277346177"/>
    <s v="1"/>
    <s v="36868"/>
    <n v="0"/>
    <n v="542.09"/>
    <n v="0"/>
    <n v="0"/>
    <n v="15658"/>
    <n v="6639.96"/>
    <n v="0"/>
    <n v="0"/>
    <n v="0"/>
    <n v="25158.41"/>
    <n v="47456.37"/>
    <n v="0"/>
    <n v="0"/>
    <n v="0"/>
    <n v="15658"/>
    <n v="0"/>
    <s v="20181203"/>
    <s v="G.N.P. ARRENDAMIENTO Y ADMINISTRACION DE FLOTILLAS"/>
    <s v="3G1TA5CF7JL197382"/>
    <n v="20180507"/>
    <n v="20181230"/>
    <m/>
    <s v="60250"/>
    <s v="Vigente"/>
    <s v="00000264753815"/>
    <s v="JALISCO"/>
    <n v="2016"/>
    <s v="Privado"/>
    <s v="AVEO &quot;F&quot; STD EE ABS A.AC. MP3 B/A 4P"/>
    <s v="0087656609"/>
    <s v="BEATRIZ PADILLA RAMIREZ"/>
    <s v="Pendiente"/>
    <s v="3ERO FORD FIESTA GRIS"/>
    <s v="JALISCO"/>
    <x v="0"/>
    <s v="10:13"/>
    <m/>
    <d v="2018-12-04T00:00:00"/>
    <x v="0"/>
    <n v="33"/>
    <m/>
    <x v="17"/>
    <x v="2"/>
    <x v="8"/>
    <m/>
    <x v="9"/>
    <s v="BEATRIZ PADILLA RAMIREZ"/>
  </r>
  <r>
    <s v="00000277346193"/>
    <s v="1"/>
    <s v="36868"/>
    <n v="0"/>
    <n v="542.09"/>
    <n v="0"/>
    <n v="0"/>
    <n v="50883.92"/>
    <n v="9251.7900000000009"/>
    <n v="0"/>
    <n v="0"/>
    <n v="0"/>
    <n v="0"/>
    <n v="60135.71"/>
    <n v="50883.92"/>
    <n v="0"/>
    <n v="0"/>
    <n v="0"/>
    <n v="0"/>
    <s v="20181114"/>
    <s v="G.N.P. ARRENDAMIENTO Y ADMINISTRACION DE FLOTILLAS"/>
    <s v="3G1TA5CF2JL197046"/>
    <n v="20180507"/>
    <n v="20181230"/>
    <m/>
    <s v="60250"/>
    <s v="Vigente"/>
    <s v="00000264753815"/>
    <s v="DISTRITO FEDERAL"/>
    <n v="2018"/>
    <s v="Privado"/>
    <s v="AVEO LT SEDAN W STD"/>
    <s v="0087771770"/>
    <s v="ESTACIONADO ESTACIONADO ESTACIONADO"/>
    <s v="Terminado"/>
    <s v="3RO TRAX / ASIGNAR A AJ SPV1930S - C5783"/>
    <s v="Distrito Federal"/>
    <x v="0"/>
    <s v="22:51"/>
    <m/>
    <d v="2018-12-06T00:00:00"/>
    <x v="0"/>
    <n v="33"/>
    <m/>
    <x v="17"/>
    <x v="2"/>
    <x v="8"/>
    <m/>
    <x v="9"/>
    <s v="ESTACIONADO ESTACIONADO ESTACIONADO"/>
  </r>
  <r>
    <s v="00000277346235"/>
    <s v="1"/>
    <s v="36868"/>
    <n v="0"/>
    <n v="1600.59"/>
    <n v="0"/>
    <n v="0"/>
    <n v="17389.78"/>
    <n v="2608.4699999999998"/>
    <n v="0"/>
    <n v="0"/>
    <n v="0"/>
    <n v="0"/>
    <n v="19998.25"/>
    <n v="17389.78"/>
    <n v="0"/>
    <n v="0"/>
    <n v="0"/>
    <n v="0"/>
    <s v="20181011"/>
    <s v="G.N.P. ARRENDAMIENTO Y ADMINISTRACION DE FLOTILLAS"/>
    <s v="3G1TA5CF7JL190920"/>
    <n v="20180507"/>
    <n v="20181230"/>
    <m/>
    <s v="60250"/>
    <s v="Vigente"/>
    <s v="00000264753815"/>
    <s v="NUEVO LEON"/>
    <n v="2017"/>
    <s v="Privado"/>
    <s v="AVEO &quot;F&quot; STD EE ABS A.AC. MP3 B/A 4P"/>
    <s v="0087853644"/>
    <s v="OMAR PICHARDO ROSALES"/>
    <s v="Pendiente"/>
    <s v="3RO YA NO ESTA TIENE ORDEN DE ABBA C6990 JORGE JOEL PEREZ AJUSTADOR EN EL LUGAR"/>
    <s v="Mexico"/>
    <x v="0"/>
    <s v="09:48"/>
    <m/>
    <d v="2018-12-10T00:00:00"/>
    <x v="0"/>
    <n v="33"/>
    <m/>
    <x v="17"/>
    <x v="2"/>
    <x v="8"/>
    <m/>
    <x v="9"/>
    <s v="OMAR PICHARDO ROSALES"/>
  </r>
  <r>
    <s v="00000277346367"/>
    <s v="1"/>
    <s v="36868"/>
    <n v="0"/>
    <n v="545.26"/>
    <n v="0"/>
    <n v="0"/>
    <n v="3293.13"/>
    <n v="493.97"/>
    <n v="0"/>
    <n v="0"/>
    <n v="0"/>
    <n v="0"/>
    <n v="3787.1"/>
    <n v="0"/>
    <n v="0"/>
    <n v="0"/>
    <n v="3293.13"/>
    <n v="0"/>
    <s v="20180823"/>
    <s v="G.N.P. ARRENDAMIENTO Y ADMINISTRACION DE FLOTILLAS"/>
    <s v="3G1TA5CF1JL181470"/>
    <n v="20180507"/>
    <n v="20181230"/>
    <m/>
    <s v="60250"/>
    <s v="Vigente"/>
    <s v="00000264753815"/>
    <s v="DISTRITO FEDERAL"/>
    <n v="2016"/>
    <s v="Privado"/>
    <s v="AVEO &quot;F&quot; STD EE ABS A.AC. MP3 B/A 4P"/>
    <s v="0087898417"/>
    <s v="OSCAR MEZA ALVAREZ"/>
    <s v="Terminado"/>
    <s v="IKON VINO EN EL LUGAR"/>
    <s v="Mexico"/>
    <x v="0"/>
    <s v="10:12"/>
    <m/>
    <d v="2018-12-11T00:00:00"/>
    <x v="0"/>
    <n v="33"/>
    <m/>
    <x v="17"/>
    <x v="2"/>
    <x v="8"/>
    <m/>
    <x v="9"/>
    <s v="OSCAR MEZA ALVAREZ"/>
  </r>
  <r>
    <s v="00000277346367"/>
    <s v="1"/>
    <s v="36868"/>
    <n v="0"/>
    <n v="1072.92"/>
    <n v="0"/>
    <n v="0"/>
    <n v="8375.86"/>
    <n v="2232.54"/>
    <n v="0"/>
    <n v="0"/>
    <n v="0"/>
    <n v="6507.76"/>
    <n v="17116.16"/>
    <n v="0"/>
    <n v="0"/>
    <n v="0"/>
    <n v="8375.86"/>
    <n v="0"/>
    <s v="20180828"/>
    <s v="G.N.P. ARRENDAMIENTO Y ADMINISTRACION DE FLOTILLAS"/>
    <s v="3G1TA5CF1JL181470"/>
    <n v="20180507"/>
    <n v="20181230"/>
    <m/>
    <s v="60250"/>
    <s v="Vigente"/>
    <s v="00000264753815"/>
    <s v="DISTRITO FEDERAL"/>
    <n v="2019"/>
    <s v="Privado"/>
    <s v="TOYOTA PRIUS C L4 1.5 HB HYBRID CVT"/>
    <s v="0087924627"/>
    <s v="GERARDO MARQUEZ ZEPULVEDA"/>
    <s v="Pendiente"/>
    <s v="3RO CIVIC NEGRO"/>
    <s v="Distrito Federal"/>
    <x v="0"/>
    <s v="19:12"/>
    <m/>
    <d v="2018-12-11T00:00:00"/>
    <x v="0"/>
    <n v="33"/>
    <m/>
    <x v="17"/>
    <x v="2"/>
    <x v="8"/>
    <m/>
    <x v="9"/>
    <s v="GERARDO MARQUEZ ZEPULVEDA"/>
  </r>
  <r>
    <s v="00000277346375"/>
    <s v="1"/>
    <s v="36868"/>
    <n v="0"/>
    <n v="1055.33"/>
    <n v="0"/>
    <n v="0"/>
    <n v="48421.95"/>
    <n v="7805.17"/>
    <n v="0"/>
    <n v="0"/>
    <n v="0"/>
    <n v="0"/>
    <n v="56227.12"/>
    <n v="45878.85"/>
    <n v="2543.1"/>
    <n v="0"/>
    <n v="0"/>
    <n v="0"/>
    <s v="20181029"/>
    <s v="G.N.P. ARRENDAMIENTO Y ADMINISTRACION DE FLOTILLAS"/>
    <s v="3G1TA5CF9JL193284"/>
    <n v="20180507"/>
    <n v="20181230"/>
    <m/>
    <s v="60250"/>
    <s v="Vigente"/>
    <s v="00000264753815"/>
    <s v="SONORA"/>
    <n v="2016"/>
    <s v="Privado"/>
    <s v="AVEO &quot;F&quot; STD EE ABS A.AC. MP3 B/A 4P"/>
    <s v="0087943494"/>
    <m/>
    <s v="Pendiente"/>
    <s v="EASYGLASS CR PARABRISAS"/>
    <s v="SONORA"/>
    <x v="1"/>
    <s v="17:20"/>
    <m/>
    <d v="2018-12-12T00:00:00"/>
    <x v="0"/>
    <n v="33"/>
    <m/>
    <x v="17"/>
    <x v="2"/>
    <x v="8"/>
    <m/>
    <x v="9"/>
    <m/>
  </r>
  <r>
    <s v="00000277346474"/>
    <s v="1"/>
    <s v="36868"/>
    <n v="0"/>
    <n v="1635.77"/>
    <n v="0"/>
    <n v="0"/>
    <n v="4769.53"/>
    <n v="340.43"/>
    <n v="0"/>
    <n v="-2500"/>
    <n v="0"/>
    <n v="0"/>
    <n v="2609.96"/>
    <n v="4769.53"/>
    <n v="0"/>
    <n v="0"/>
    <n v="0"/>
    <n v="0"/>
    <s v="20180703"/>
    <s v="G.N.P. ARRENDAMIENTO Y ADMINISTRACION DE FLOTILLAS"/>
    <s v="3G1TA5CF1JL190069"/>
    <n v="20180507"/>
    <n v="20181230"/>
    <m/>
    <s v="60250"/>
    <s v="Vigente"/>
    <s v="00000264753815"/>
    <s v="CHIHUAHUA"/>
    <n v="2016"/>
    <s v="Privado"/>
    <s v="AVEO &quot;F&quot; STD EE ABS A.AC. MP3 B/A 4P"/>
    <s v="0088011804"/>
    <s v="JUAN CARLOS SOLIS DOMINGUEZ"/>
    <s v="Reabierto"/>
    <s v="12 DE 12 DE 2018"/>
    <s v="Chihuahua"/>
    <x v="0"/>
    <s v="13:11"/>
    <m/>
    <d v="2018-12-14T00:00:00"/>
    <x v="0"/>
    <n v="33"/>
    <m/>
    <x v="17"/>
    <x v="2"/>
    <x v="8"/>
    <m/>
    <x v="9"/>
    <s v="JUAN CARLOS SOLIS DOMINGUEZ"/>
  </r>
  <r>
    <s v="00000277346565"/>
    <s v="1"/>
    <s v="36868"/>
    <n v="0"/>
    <n v="1600.59"/>
    <n v="0"/>
    <n v="0"/>
    <n v="452.17"/>
    <n v="108.53"/>
    <n v="0"/>
    <n v="-90.4"/>
    <n v="0"/>
    <n v="361.77"/>
    <n v="832.07"/>
    <n v="452.17"/>
    <n v="0"/>
    <n v="0"/>
    <n v="0"/>
    <n v="0"/>
    <s v="20181015"/>
    <s v="G.N.P. ARRENDAMIENTO Y ADMINISTRACION DE FLOTILLAS"/>
    <s v="3G1TA5CF1JL195725"/>
    <n v="20180507"/>
    <n v="20181230"/>
    <m/>
    <s v="60250"/>
    <s v="Vigente"/>
    <s v="00000264753815"/>
    <s v="TAMAULIPAS"/>
    <n v="2017"/>
    <s v="Privado"/>
    <s v="AVEO &quot;F&quot; STD EE ABS A.AC. MP3 B/A 4P"/>
    <s v="0088017314"/>
    <s v="SERGIO IVAN LONGORIA GUADIANA"/>
    <s v="Reabierto"/>
    <s v="3ERO CHEVROLET F10"/>
    <s v="TAMAULIPAS"/>
    <x v="0"/>
    <s v="15:33"/>
    <m/>
    <d v="2018-12-14T00:00:00"/>
    <x v="0"/>
    <n v="33"/>
    <m/>
    <x v="17"/>
    <x v="2"/>
    <x v="8"/>
    <m/>
    <x v="9"/>
    <s v="SERGIO IVAN LONGORIA GUADIANA"/>
  </r>
  <r>
    <s v="00000277346730"/>
    <s v="1"/>
    <s v="36868"/>
    <n v="0"/>
    <n v="0"/>
    <n v="0"/>
    <n v="0"/>
    <n v="0"/>
    <n v="2238.98"/>
    <n v="0"/>
    <n v="-7445"/>
    <n v="0"/>
    <n v="22371.5"/>
    <n v="17165.48"/>
    <n v="0"/>
    <n v="0"/>
    <n v="0"/>
    <n v="0"/>
    <n v="0"/>
    <s v="20181226"/>
    <s v="G.N.P. ARRENDAMIENTO Y ADMINISTRACION DE FLOTILLAS"/>
    <s v="3G1TA5CF6JL193226"/>
    <n v="20180507"/>
    <n v="20181230"/>
    <m/>
    <s v="60250"/>
    <s v="Vigente"/>
    <s v="00000264753815"/>
    <s v="NUEVO LEON"/>
    <n v="2017"/>
    <s v="Privado"/>
    <s v="AVEO &quot;F&quot; STD EE ABS A.AC. MP3 B/A 4P"/>
    <s v="0088038849"/>
    <s v="ALEJANDRO GONZALEZ LIMON"/>
    <s v="Pendiente"/>
    <s v="SI HAY TERCERO RENAULT CLIO NEGRO"/>
    <s v="NUEVO LEON"/>
    <x v="0"/>
    <s v="13:24"/>
    <m/>
    <d v="2018-12-15T00:00:00"/>
    <x v="0"/>
    <n v="33"/>
    <m/>
    <x v="17"/>
    <x v="2"/>
    <x v="8"/>
    <m/>
    <x v="9"/>
    <s v="ALEJANDRO GONZALEZ LIMON"/>
  </r>
  <r>
    <s v="00000277346771"/>
    <s v="1"/>
    <s v="36868"/>
    <n v="0"/>
    <n v="1600.59"/>
    <n v="0"/>
    <n v="0"/>
    <n v="5209.99"/>
    <n v="781.5"/>
    <n v="0"/>
    <n v="0"/>
    <n v="0"/>
    <n v="0"/>
    <n v="5991.49"/>
    <n v="5209.99"/>
    <n v="0"/>
    <n v="0"/>
    <n v="0"/>
    <n v="0"/>
    <s v="20180829"/>
    <s v="G.N.P. ARRENDAMIENTO Y ADMINISTRACION DE FLOTILLAS"/>
    <s v="3G1TA5CF6JL194425"/>
    <n v="20180507"/>
    <n v="20181230"/>
    <m/>
    <s v="60250"/>
    <s v="Vigente"/>
    <s v="00000264753815"/>
    <s v="DISTRITO FEDERAL"/>
    <n v="2018"/>
    <s v="Privado"/>
    <s v="AVEO LT SEDAN W STD"/>
    <s v="0088043765"/>
    <s v="LUIS GUSTAVO GARCIA SUAREZ"/>
    <s v="Pendiente"/>
    <s v="PATRULLA MUNICIPAL"/>
    <s v="GUANAJUATO"/>
    <x v="0"/>
    <s v="16:14"/>
    <m/>
    <d v="2018-12-15T00:00:00"/>
    <x v="0"/>
    <n v="33"/>
    <m/>
    <x v="17"/>
    <x v="2"/>
    <x v="8"/>
    <m/>
    <x v="9"/>
    <s v="LUIS GUSTAVO GARCIA SUAREZ"/>
  </r>
  <r>
    <s v="00000277346797"/>
    <s v="1"/>
    <s v="36868"/>
    <n v="0"/>
    <n v="1600.59"/>
    <n v="0"/>
    <n v="0"/>
    <n v="600"/>
    <n v="90"/>
    <n v="0"/>
    <n v="0"/>
    <n v="0"/>
    <n v="0"/>
    <n v="690"/>
    <n v="600"/>
    <n v="0"/>
    <n v="0"/>
    <n v="0"/>
    <n v="0"/>
    <s v="20180906"/>
    <s v="G.N.P. ARRENDAMIENTO Y ADMINISTRACION DE FLOTILLAS"/>
    <s v="3G1TA5CF6JL195199"/>
    <n v="20180507"/>
    <n v="20181230"/>
    <m/>
    <s v="60250"/>
    <s v="Vigente"/>
    <s v="00000264753815"/>
    <s v="NUEVO LEON"/>
    <n v="2016"/>
    <s v="Privado"/>
    <s v="AVEO &quot;F&quot; STD EE ABS A.AC. MP3 B/A 4P"/>
    <s v="0088077961"/>
    <s v="EDUARDO ALEXANDER VILLASANA VILLASANA"/>
    <s v="Terminado"/>
    <s v="3ERO TAXI VERDE"/>
    <s v="NUEVO LEON"/>
    <x v="0"/>
    <s v="12:52"/>
    <m/>
    <d v="2018-12-17T00:00:00"/>
    <x v="0"/>
    <n v="33"/>
    <m/>
    <x v="17"/>
    <x v="2"/>
    <x v="8"/>
    <m/>
    <x v="9"/>
    <s v="EDUARDO ALEXANDER VILLASANA VILLASANA"/>
  </r>
  <r>
    <s v="00000277346821"/>
    <s v="1"/>
    <s v="36868"/>
    <n v="0"/>
    <n v="1072.92"/>
    <n v="0"/>
    <n v="0"/>
    <n v="0"/>
    <n v="-1788.45"/>
    <n v="0"/>
    <n v="-15658"/>
    <n v="0"/>
    <n v="3735"/>
    <n v="-13711.45"/>
    <n v="0"/>
    <n v="0"/>
    <n v="0"/>
    <n v="0"/>
    <n v="0"/>
    <s v="20181024"/>
    <s v="G.N.P. ARRENDAMIENTO Y ADMINISTRACION DE FLOTILLAS"/>
    <s v="3G1TA5CF6JL196658"/>
    <n v="20180507"/>
    <n v="20181230"/>
    <m/>
    <s v="60250"/>
    <s v="Vigente"/>
    <s v="00000264753815"/>
    <s v="JALISCO"/>
    <n v="2016"/>
    <s v="Privado"/>
    <s v="AVEO &quot;F&quot; STD EE ABS A.AC. MP3 B/A 4P"/>
    <s v="0088227152"/>
    <s v="MARIA ZOE LARA ESPINOSA"/>
    <s v="Reabierto"/>
    <s v="3RO TRANSIT BLANCA"/>
    <s v="JALISCO"/>
    <x v="0"/>
    <s v="18:26"/>
    <m/>
    <d v="2018-12-20T00:00:00"/>
    <x v="0"/>
    <n v="33"/>
    <m/>
    <x v="17"/>
    <x v="2"/>
    <x v="8"/>
    <m/>
    <x v="9"/>
    <s v="MARIA ZOE LARA ESPINOSA"/>
  </r>
  <r>
    <s v="00000277346987"/>
    <s v="1"/>
    <s v="36868"/>
    <n v="0"/>
    <n v="1072.92"/>
    <n v="0"/>
    <n v="0"/>
    <n v="13065.42"/>
    <n v="1959.81"/>
    <n v="0"/>
    <n v="0"/>
    <n v="0"/>
    <n v="0"/>
    <n v="15025.23"/>
    <n v="13065.42"/>
    <n v="0"/>
    <n v="0"/>
    <n v="0"/>
    <n v="0"/>
    <s v="20180810"/>
    <s v="G.N.P. ARRENDAMIENTO Y ADMINISTRACION DE FLOTILLAS"/>
    <s v="3G1TA5CF2JL190176"/>
    <n v="20180507"/>
    <n v="20181230"/>
    <m/>
    <s v="60250"/>
    <s v="Vigente"/>
    <s v="00000264753815"/>
    <s v="DISTRITO FEDERAL"/>
    <n v="2017"/>
    <s v="Privado"/>
    <s v="AVEO &quot;F&quot; STD EE ABS A.AC. MP3 B/A 4P"/>
    <s v="0088192059"/>
    <s v="CUTBERTO GABRIEL PEREZ ESTRADA"/>
    <s v="Reabierto"/>
    <s v="NA IMPACTA A 3RO MOTO"/>
    <s v="Mexico"/>
    <x v="0"/>
    <s v="06:06"/>
    <m/>
    <d v="2018-12-20T00:00:00"/>
    <x v="0"/>
    <n v="33"/>
    <m/>
    <x v="17"/>
    <x v="2"/>
    <x v="8"/>
    <m/>
    <x v="9"/>
    <s v="CUTBERTO GABRIEL PEREZ ESTRADA"/>
  </r>
  <r>
    <s v="00000277347050"/>
    <s v="1"/>
    <s v="36868"/>
    <n v="0"/>
    <n v="1055.33"/>
    <n v="0"/>
    <n v="0"/>
    <n v="1260"/>
    <n v="189"/>
    <n v="0"/>
    <n v="0"/>
    <n v="0"/>
    <n v="0"/>
    <n v="1449"/>
    <n v="1260"/>
    <n v="0"/>
    <n v="0"/>
    <n v="0"/>
    <n v="0"/>
    <s v="20181031"/>
    <s v="G.N.P. ARRENDAMIENTO Y ADMINISTRACION DE FLOTILLAS"/>
    <s v="3G1TA5CF2JL192378"/>
    <n v="20180507"/>
    <n v="20181230"/>
    <m/>
    <s v="60250"/>
    <s v="Vigente"/>
    <s v="00000264753815"/>
    <s v="DISTRITO FEDERAL"/>
    <n v="2018"/>
    <s v="Privado"/>
    <s v="AVEO LT SEDAN W STD"/>
    <s v="0088301056"/>
    <s v="G.N.P. ARRENDAMIENTO Y ADMINISTRACION DE FLOTILLAS, S.A. DEC.V."/>
    <s v="Pendiente"/>
    <s v="3RO VH FORD WHSI CAMIONETA"/>
    <s v="BAJA CALIFORNIA"/>
    <x v="0"/>
    <s v="20:53"/>
    <m/>
    <d v="2018-12-22T00:00:00"/>
    <x v="3"/>
    <n v="33"/>
    <m/>
    <x v="17"/>
    <x v="2"/>
    <x v="8"/>
    <m/>
    <x v="9"/>
    <s v="G.N.P. ARRENDAMIENTO Y ADMINISTRACION DE FLOTILLAS, S.A. DEC.V."/>
  </r>
  <r>
    <s v="00000277347126"/>
    <s v="1"/>
    <s v="36868"/>
    <n v="0"/>
    <n v="0"/>
    <n v="0"/>
    <n v="0"/>
    <n v="0"/>
    <n v="483"/>
    <n v="0"/>
    <n v="0"/>
    <n v="0"/>
    <n v="0"/>
    <n v="483"/>
    <n v="0"/>
    <n v="0"/>
    <n v="0"/>
    <n v="0"/>
    <n v="0"/>
    <s v="20181206"/>
    <s v="G.N.P. ARRENDAMIENTO Y ADMINISTRACION DE FLOTILLAS"/>
    <s v="3G1TA5CF2JL193725"/>
    <n v="20180507"/>
    <n v="20181230"/>
    <m/>
    <s v="60250"/>
    <s v="Vigente"/>
    <s v="00000264753815"/>
    <s v="DISTRITO FEDERAL"/>
    <n v="2018"/>
    <s v="Privado"/>
    <s v="AVEO LT SEDAN W STD"/>
    <s v="0088374459"/>
    <s v="ALEJANDRO SANCHEZ Y SANCHEZ"/>
    <s v="Reabierto"/>
    <s v="3RO EN LUGAR"/>
    <s v="Veracruz"/>
    <x v="0"/>
    <s v="15:07"/>
    <m/>
    <d v="2018-12-26T00:00:00"/>
    <x v="0"/>
    <n v="33"/>
    <m/>
    <x v="17"/>
    <x v="2"/>
    <x v="8"/>
    <m/>
    <x v="9"/>
    <s v="ALEJANDRO SANCHEZ Y SANCHEZ"/>
  </r>
  <r>
    <s v="00000302627120"/>
    <s v="1"/>
    <s v="36868"/>
    <n v="0"/>
    <n v="933.49"/>
    <n v="1213.54"/>
    <n v="1213.54"/>
    <n v="0"/>
    <n v="-1683.01"/>
    <n v="0"/>
    <n v="-15658"/>
    <n v="0"/>
    <n v="4437.96"/>
    <n v="-12903.05"/>
    <n v="0"/>
    <n v="0"/>
    <n v="0"/>
    <n v="0"/>
    <n v="0"/>
    <s v="20181211"/>
    <s v="G.N.P. ARRENDAMIENTO Y ADMINISTRACION DE FLOTILLAS"/>
    <s v="JTDKDTB33K1621400"/>
    <n v="20181121"/>
    <n v="20181230"/>
    <m/>
    <s v="60250"/>
    <s v="Vigente"/>
    <s v="00000264753815"/>
    <s v="JALISCO"/>
    <n v="2017"/>
    <s v="Privado"/>
    <s v="AVEO &quot;F&quot; STD EE ABS A.AC. MP3 B/A 4P"/>
    <s v="0088501119"/>
    <s v="LUIS ALBERTO SOTO GARCIA"/>
    <s v="Pendiente"/>
    <s v="3RO RANGER ROJO"/>
    <s v="JALISCO"/>
    <x v="0"/>
    <s v="11:51"/>
    <m/>
    <d v="2018-12-31T00:00:00"/>
    <x v="0"/>
    <n v="33"/>
    <m/>
    <x v="17"/>
    <x v="2"/>
    <x v="8"/>
    <m/>
    <x v="9"/>
    <s v="LUIS ALBERTO SOTO GARCI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4" cacheId="1" applyNumberFormats="0" applyBorderFormats="0" applyFontFormats="0" applyPatternFormats="0" applyAlignmentFormats="0" applyWidthHeightFormats="1" dataCaption="Valores" updatedVersion="6" minRefreshableVersion="3" itemPrintTitles="1" createdVersion="5" indent="0" showHeaders="0" outline="1" outlineData="1" multipleFieldFilters="0" chartFormat="2">
  <location ref="A6:D7" firstHeaderRow="0" firstDataRow="1" firstDataCol="1"/>
  <pivotFields count="50">
    <pivotField showAll="0"/>
    <pivotField showAll="0"/>
    <pivotField showAll="0"/>
    <pivotField numFmtId="2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>
      <items count="9">
        <item h="1" x="6"/>
        <item h="1" x="7"/>
        <item x="0"/>
        <item h="1" x="1"/>
        <item h="1" x="2"/>
        <item h="1" x="5"/>
        <item h="1" x="4"/>
        <item h="1" x="3"/>
        <item t="default"/>
      </items>
    </pivotField>
    <pivotField showAll="0"/>
    <pivotField showAll="0"/>
    <pivotField numFmtId="14" showAll="0"/>
    <pivotField showAll="0"/>
    <pivotField numFmtId="1" showAll="0"/>
    <pivotField showAll="0"/>
    <pivotField axis="axisCol" numFmtId="17" showAll="0">
      <items count="20"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  <item x="0"/>
        <item x="1"/>
        <item x="2"/>
        <item x="3"/>
        <item x="4"/>
        <item x="5"/>
        <item t="default"/>
      </items>
    </pivotField>
    <pivotField showAll="0">
      <items count="19">
        <item x="0"/>
        <item m="1" x="4"/>
        <item m="1" x="14"/>
        <item m="1" x="15"/>
        <item x="1"/>
        <item m="1" x="8"/>
        <item m="1" x="5"/>
        <item m="1" x="11"/>
        <item m="1" x="12"/>
        <item m="1" x="3"/>
        <item m="1" x="7"/>
        <item m="1" x="6"/>
        <item m="1" x="16"/>
        <item m="1" x="17"/>
        <item m="1" x="13"/>
        <item m="1" x="9"/>
        <item m="1" x="10"/>
        <item x="2"/>
        <item t="default"/>
      </items>
    </pivotField>
    <pivotField showAll="0">
      <items count="32">
        <item h="1" x="5"/>
        <item h="1" m="1" x="17"/>
        <item h="1" x="7"/>
        <item x="4"/>
        <item h="1" m="1" x="24"/>
        <item h="1" m="1" x="14"/>
        <item h="1" m="1" x="9"/>
        <item h="1" x="3"/>
        <item h="1" x="6"/>
        <item h="1" m="1" x="30"/>
        <item h="1" m="1" x="27"/>
        <item h="1" m="1" x="16"/>
        <item h="1" m="1" x="20"/>
        <item h="1" m="1" x="15"/>
        <item h="1" m="1" x="25"/>
        <item h="1" m="1" x="10"/>
        <item h="1" x="1"/>
        <item h="1" m="1" x="13"/>
        <item h="1" m="1" x="28"/>
        <item h="1" m="1" x="29"/>
        <item h="1" m="1" x="21"/>
        <item h="1" m="1" x="19"/>
        <item h="1" m="1" x="26"/>
        <item h="1" m="1" x="11"/>
        <item h="1" m="1" x="12"/>
        <item h="1" x="0"/>
        <item h="1" m="1" x="23"/>
        <item h="1" x="2"/>
        <item h="1" m="1" x="18"/>
        <item h="1" m="1" x="22"/>
        <item h="1" x="8"/>
        <item t="default"/>
      </items>
    </pivotField>
    <pivotField showAll="0"/>
    <pivotField showAll="0">
      <items count="121">
        <item x="5"/>
        <item m="1" x="112"/>
        <item m="1" x="10"/>
        <item m="1" x="34"/>
        <item m="1" x="86"/>
        <item m="1" x="79"/>
        <item m="1" x="46"/>
        <item m="1" x="70"/>
        <item m="1" x="119"/>
        <item m="1" x="74"/>
        <item m="1" x="33"/>
        <item m="1" x="58"/>
        <item m="1" x="47"/>
        <item m="1" x="16"/>
        <item x="6"/>
        <item m="1" x="40"/>
        <item m="1" x="111"/>
        <item m="1" x="44"/>
        <item m="1" x="17"/>
        <item m="1" x="28"/>
        <item m="1" x="98"/>
        <item m="1" x="96"/>
        <item m="1" x="38"/>
        <item x="4"/>
        <item m="1" x="27"/>
        <item m="1" x="81"/>
        <item m="1" x="101"/>
        <item x="3"/>
        <item m="1" x="26"/>
        <item m="1" x="11"/>
        <item m="1" x="104"/>
        <item m="1" x="107"/>
        <item m="1" x="87"/>
        <item m="1" x="115"/>
        <item m="1" x="37"/>
        <item m="1" x="72"/>
        <item m="1" x="29"/>
        <item m="1" x="82"/>
        <item m="1" x="110"/>
        <item m="1" x="45"/>
        <item m="1" x="113"/>
        <item m="1" x="95"/>
        <item m="1" x="93"/>
        <item x="0"/>
        <item m="1" x="53"/>
        <item m="1" x="69"/>
        <item m="1" x="42"/>
        <item m="1" x="19"/>
        <item x="2"/>
        <item m="1" x="102"/>
        <item m="1" x="18"/>
        <item m="1" x="66"/>
        <item m="1" x="65"/>
        <item m="1" x="22"/>
        <item x="8"/>
        <item m="1" x="114"/>
        <item m="1" x="12"/>
        <item m="1" x="39"/>
        <item m="1" x="117"/>
        <item m="1" x="56"/>
        <item m="1" x="103"/>
        <item m="1" x="20"/>
        <item m="1" x="54"/>
        <item m="1" x="71"/>
        <item m="1" x="75"/>
        <item m="1" x="116"/>
        <item m="1" x="88"/>
        <item m="1" x="50"/>
        <item m="1" x="31"/>
        <item m="1" x="48"/>
        <item m="1" x="108"/>
        <item m="1" x="106"/>
        <item m="1" x="55"/>
        <item m="1" x="43"/>
        <item m="1" x="91"/>
        <item m="1" x="80"/>
        <item m="1" x="76"/>
        <item m="1" x="59"/>
        <item m="1" x="90"/>
        <item m="1" x="63"/>
        <item m="1" x="67"/>
        <item x="7"/>
        <item m="1" x="51"/>
        <item m="1" x="21"/>
        <item m="1" x="60"/>
        <item m="1" x="99"/>
        <item m="1" x="13"/>
        <item m="1" x="41"/>
        <item x="1"/>
        <item m="1" x="78"/>
        <item m="1" x="14"/>
        <item m="1" x="109"/>
        <item m="1" x="92"/>
        <item m="1" x="94"/>
        <item m="1" x="57"/>
        <item m="1" x="100"/>
        <item m="1" x="35"/>
        <item m="1" x="15"/>
        <item m="1" x="89"/>
        <item m="1" x="118"/>
        <item m="1" x="25"/>
        <item m="1" x="62"/>
        <item m="1" x="77"/>
        <item m="1" x="30"/>
        <item m="1" x="84"/>
        <item m="1" x="83"/>
        <item m="1" x="49"/>
        <item m="1" x="52"/>
        <item m="1" x="97"/>
        <item m="1" x="73"/>
        <item m="1" x="32"/>
        <item m="1" x="105"/>
        <item m="1" x="68"/>
        <item m="1" x="24"/>
        <item m="1" x="36"/>
        <item m="1" x="61"/>
        <item m="1" x="85"/>
        <item m="1" x="64"/>
        <item m="1" x="23"/>
        <item x="9"/>
        <item t="default"/>
      </items>
    </pivotField>
    <pivotField showAll="0"/>
  </pivotFields>
  <rowItems count="1">
    <i/>
  </rowItems>
  <colFields count="1">
    <field x="44"/>
  </colFields>
  <colItems count="3">
    <i>
      <x v="16"/>
    </i>
    <i>
      <x v="18"/>
    </i>
    <i t="grand">
      <x/>
    </i>
  </colItems>
  <dataFields count="1">
    <dataField name="PAGO SINIESTROS" fld="13" baseField="44" baseItem="12" numFmtId="168"/>
  </dataFields>
  <formats count="2"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grandCol="1" outline="0" collapsedLevelsAreSubtotals="1" fieldPosition="0"/>
    </format>
  </format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2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3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8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filters count="1">
    <filter fld="44" type="thisYear" evalOrder="-1" id="2">
      <autoFilter ref="A1">
        <filterColumn colId="0">
          <dynamicFilter type="thisYear" val="43466" maxVal="4383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3" cacheId="1" applyNumberFormats="0" applyBorderFormats="0" applyFontFormats="0" applyPatternFormats="0" applyAlignmentFormats="0" applyWidthHeightFormats="1" dataCaption="Valores" updatedVersion="6" minRefreshableVersion="3" itemPrintTitles="1" createdVersion="5" indent="0" showHeaders="0" outline="1" outlineData="1" multipleFieldFilters="0" chartFormat="4">
  <location ref="A3:D4" firstHeaderRow="0" firstDataRow="1" firstDataCol="1"/>
  <pivotFields count="50">
    <pivotField showAll="0"/>
    <pivotField showAll="0"/>
    <pivotField showAll="0"/>
    <pivotField numFmtId="2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numFmtId="1" showAll="0"/>
    <pivotField numFmtId="1" showAll="0"/>
    <pivotField showAll="0"/>
    <pivotField showAll="0"/>
    <pivotField showAll="0"/>
    <pivotField showAll="0"/>
    <pivotField showAll="0"/>
    <pivotField numFmtId="1"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9">
        <item h="1" x="6"/>
        <item h="1" x="7"/>
        <item x="0"/>
        <item h="1" x="1"/>
        <item h="1" x="2"/>
        <item h="1" x="5"/>
        <item h="1" x="4"/>
        <item h="1" x="3"/>
        <item t="default"/>
      </items>
    </pivotField>
    <pivotField showAll="0"/>
    <pivotField showAll="0"/>
    <pivotField numFmtId="14" showAll="0"/>
    <pivotField showAll="0"/>
    <pivotField numFmtId="1" showAll="0"/>
    <pivotField showAll="0"/>
    <pivotField axis="axisCol" numFmtId="17" showAll="0">
      <items count="20"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18"/>
        <item x="0"/>
        <item x="1"/>
        <item x="2"/>
        <item x="3"/>
        <item x="4"/>
        <item x="5"/>
        <item t="default"/>
      </items>
    </pivotField>
    <pivotField showAll="0">
      <items count="19">
        <item x="0"/>
        <item m="1" x="4"/>
        <item m="1" x="14"/>
        <item m="1" x="15"/>
        <item x="1"/>
        <item m="1" x="8"/>
        <item m="1" x="5"/>
        <item m="1" x="11"/>
        <item m="1" x="12"/>
        <item m="1" x="3"/>
        <item m="1" x="7"/>
        <item m="1" x="6"/>
        <item m="1" x="16"/>
        <item m="1" x="17"/>
        <item m="1" x="13"/>
        <item m="1" x="9"/>
        <item m="1" x="10"/>
        <item x="2"/>
        <item t="default"/>
      </items>
    </pivotField>
    <pivotField showAll="0">
      <items count="32">
        <item h="1" x="5"/>
        <item h="1" m="1" x="17"/>
        <item h="1" x="7"/>
        <item x="4"/>
        <item h="1" m="1" x="24"/>
        <item h="1" m="1" x="14"/>
        <item h="1" m="1" x="9"/>
        <item h="1" x="3"/>
        <item h="1" x="6"/>
        <item h="1" m="1" x="30"/>
        <item h="1" m="1" x="27"/>
        <item h="1" m="1" x="16"/>
        <item h="1" m="1" x="20"/>
        <item h="1" m="1" x="15"/>
        <item h="1" m="1" x="25"/>
        <item h="1" m="1" x="10"/>
        <item h="1" x="1"/>
        <item h="1" m="1" x="13"/>
        <item h="1" m="1" x="28"/>
        <item h="1" m="1" x="29"/>
        <item h="1" m="1" x="21"/>
        <item h="1" m="1" x="19"/>
        <item h="1" m="1" x="26"/>
        <item h="1" m="1" x="11"/>
        <item h="1" m="1" x="12"/>
        <item h="1" x="0"/>
        <item h="1" m="1" x="23"/>
        <item h="1" x="2"/>
        <item h="1" m="1" x="18"/>
        <item h="1" m="1" x="22"/>
        <item h="1" x="8"/>
        <item t="default"/>
      </items>
    </pivotField>
    <pivotField showAll="0"/>
    <pivotField showAll="0">
      <items count="121">
        <item x="5"/>
        <item m="1" x="112"/>
        <item m="1" x="10"/>
        <item m="1" x="34"/>
        <item m="1" x="86"/>
        <item m="1" x="79"/>
        <item m="1" x="46"/>
        <item m="1" x="70"/>
        <item m="1" x="119"/>
        <item m="1" x="74"/>
        <item m="1" x="33"/>
        <item m="1" x="58"/>
        <item m="1" x="47"/>
        <item m="1" x="16"/>
        <item x="6"/>
        <item m="1" x="40"/>
        <item m="1" x="111"/>
        <item m="1" x="44"/>
        <item m="1" x="17"/>
        <item m="1" x="28"/>
        <item m="1" x="98"/>
        <item m="1" x="96"/>
        <item m="1" x="38"/>
        <item x="4"/>
        <item m="1" x="27"/>
        <item m="1" x="81"/>
        <item m="1" x="101"/>
        <item x="3"/>
        <item m="1" x="26"/>
        <item m="1" x="11"/>
        <item m="1" x="104"/>
        <item m="1" x="107"/>
        <item m="1" x="87"/>
        <item m="1" x="115"/>
        <item m="1" x="37"/>
        <item m="1" x="72"/>
        <item m="1" x="29"/>
        <item m="1" x="82"/>
        <item m="1" x="110"/>
        <item m="1" x="45"/>
        <item m="1" x="113"/>
        <item m="1" x="95"/>
        <item m="1" x="93"/>
        <item x="0"/>
        <item m="1" x="53"/>
        <item m="1" x="69"/>
        <item m="1" x="42"/>
        <item m="1" x="19"/>
        <item x="2"/>
        <item m="1" x="102"/>
        <item m="1" x="18"/>
        <item m="1" x="66"/>
        <item m="1" x="65"/>
        <item m="1" x="22"/>
        <item x="8"/>
        <item m="1" x="114"/>
        <item m="1" x="12"/>
        <item m="1" x="39"/>
        <item m="1" x="117"/>
        <item m="1" x="56"/>
        <item m="1" x="103"/>
        <item m="1" x="20"/>
        <item m="1" x="54"/>
        <item m="1" x="71"/>
        <item m="1" x="75"/>
        <item m="1" x="116"/>
        <item m="1" x="88"/>
        <item m="1" x="50"/>
        <item m="1" x="31"/>
        <item m="1" x="48"/>
        <item m="1" x="108"/>
        <item m="1" x="106"/>
        <item m="1" x="55"/>
        <item m="1" x="43"/>
        <item m="1" x="91"/>
        <item m="1" x="80"/>
        <item m="1" x="76"/>
        <item m="1" x="59"/>
        <item m="1" x="90"/>
        <item m="1" x="63"/>
        <item m="1" x="67"/>
        <item x="7"/>
        <item m="1" x="51"/>
        <item m="1" x="21"/>
        <item m="1" x="60"/>
        <item m="1" x="99"/>
        <item m="1" x="13"/>
        <item m="1" x="41"/>
        <item x="1"/>
        <item m="1" x="78"/>
        <item m="1" x="14"/>
        <item m="1" x="109"/>
        <item m="1" x="92"/>
        <item m="1" x="94"/>
        <item m="1" x="57"/>
        <item m="1" x="100"/>
        <item m="1" x="35"/>
        <item m="1" x="15"/>
        <item m="1" x="89"/>
        <item m="1" x="118"/>
        <item m="1" x="25"/>
        <item m="1" x="62"/>
        <item m="1" x="77"/>
        <item m="1" x="30"/>
        <item m="1" x="84"/>
        <item m="1" x="83"/>
        <item m="1" x="49"/>
        <item m="1" x="52"/>
        <item m="1" x="97"/>
        <item m="1" x="73"/>
        <item m="1" x="32"/>
        <item m="1" x="105"/>
        <item m="1" x="68"/>
        <item m="1" x="24"/>
        <item m="1" x="36"/>
        <item m="1" x="61"/>
        <item m="1" x="85"/>
        <item m="1" x="64"/>
        <item m="1" x="23"/>
        <item x="9"/>
        <item t="default"/>
      </items>
    </pivotField>
    <pivotField showAll="0"/>
  </pivotFields>
  <rowItems count="1">
    <i/>
  </rowItems>
  <colFields count="1">
    <field x="44"/>
  </colFields>
  <colItems count="3">
    <i>
      <x v="16"/>
    </i>
    <i>
      <x v="18"/>
    </i>
    <i t="grand">
      <x/>
    </i>
  </colItems>
  <dataFields count="1">
    <dataField name="SINIESTROS" fld="32" subtotal="count" baseField="0" baseItem="0"/>
  </dataFields>
  <formats count="1">
    <format dxfId="81">
      <pivotArea grandCol="1" outline="0" collapsedLevelsAreSubtotals="1" fieldPosition="0"/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2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3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5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6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7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44" count="1" selected="0">
            <x v="18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8" showRowHeaders="1" showColHeaders="1" showRowStripes="0" showColStripes="0" showLastColumn="1"/>
  <filters count="1">
    <filter fld="44" type="thisYear" evalOrder="-1" id="2">
      <autoFilter ref="A1">
        <filterColumn colId="0">
          <dynamicFilter type="thisYear" val="43466" maxVal="4383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1" applyNumberFormats="0" applyBorderFormats="0" applyFontFormats="0" applyPatternFormats="0" applyAlignmentFormats="0" applyWidthHeightFormats="1" dataCaption="Valores" updatedVersion="5" minRefreshableVersion="3" showDrill="0" itemPrintTitles="1" createdVersion="5" indent="0" showHeaders="0" compact="0" compactData="0" multipleFieldFilters="0">
  <location ref="A11:J24" firstHeaderRow="1" firstDataRow="2" firstDataCol="3"/>
  <pivotFields count="50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9">
        <item x="6"/>
        <item x="7"/>
        <item x="0"/>
        <item x="1"/>
        <item x="2"/>
        <item x="5"/>
        <item x="4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1"/>
        <item x="2"/>
        <item x="3"/>
        <item x="5"/>
        <item x="0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20">
        <item m="1" x="1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8">
        <item x="0"/>
        <item m="1" x="4"/>
        <item m="1" x="14"/>
        <item m="1" x="15"/>
        <item x="1"/>
        <item m="1" x="8"/>
        <item m="1" x="5"/>
        <item m="1" x="11"/>
        <item m="1" x="12"/>
        <item m="1" x="3"/>
        <item m="1" x="7"/>
        <item m="1" x="6"/>
        <item m="1" x="16"/>
        <item m="1" x="17"/>
        <item m="1" x="13"/>
        <item m="1" x="9"/>
        <item m="1" x="10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x="5"/>
        <item m="1" x="17"/>
        <item x="7"/>
        <item x="4"/>
        <item m="1" x="24"/>
        <item m="1" x="14"/>
        <item m="1" x="9"/>
        <item x="3"/>
        <item x="6"/>
        <item m="1" x="30"/>
        <item m="1" x="27"/>
        <item m="1" x="16"/>
        <item m="1" x="20"/>
        <item m="1" x="15"/>
        <item m="1" x="25"/>
        <item m="1" x="10"/>
        <item x="1"/>
        <item m="1" x="13"/>
        <item m="1" x="28"/>
        <item m="1" x="29"/>
        <item m="1" x="21"/>
        <item m="1" x="19"/>
        <item m="1" x="26"/>
        <item m="1" x="11"/>
        <item m="1" x="12"/>
        <item x="0"/>
        <item m="1" x="23"/>
        <item x="2"/>
        <item m="1" x="18"/>
        <item m="1" x="22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0">
        <item x="5"/>
        <item m="1" x="112"/>
        <item m="1" x="34"/>
        <item m="1" x="86"/>
        <item m="1" x="79"/>
        <item m="1" x="46"/>
        <item m="1" x="70"/>
        <item m="1" x="119"/>
        <item m="1" x="74"/>
        <item m="1" x="33"/>
        <item m="1" x="58"/>
        <item m="1" x="47"/>
        <item m="1" x="16"/>
        <item x="6"/>
        <item m="1" x="40"/>
        <item m="1" x="111"/>
        <item m="1" x="44"/>
        <item m="1" x="17"/>
        <item m="1" x="28"/>
        <item m="1" x="98"/>
        <item m="1" x="96"/>
        <item m="1" x="38"/>
        <item x="4"/>
        <item m="1" x="27"/>
        <item m="1" x="81"/>
        <item m="1" x="101"/>
        <item x="3"/>
        <item m="1" x="26"/>
        <item m="1" x="107"/>
        <item m="1" x="87"/>
        <item m="1" x="115"/>
        <item m="1" x="37"/>
        <item m="1" x="72"/>
        <item m="1" x="29"/>
        <item m="1" x="110"/>
        <item m="1" x="45"/>
        <item m="1" x="113"/>
        <item m="1" x="95"/>
        <item m="1" x="93"/>
        <item x="0"/>
        <item m="1" x="53"/>
        <item m="1" x="69"/>
        <item m="1" x="42"/>
        <item m="1" x="19"/>
        <item x="2"/>
        <item m="1" x="18"/>
        <item m="1" x="66"/>
        <item m="1" x="65"/>
        <item m="1" x="22"/>
        <item x="8"/>
        <item m="1" x="114"/>
        <item m="1" x="12"/>
        <item m="1" x="39"/>
        <item m="1" x="117"/>
        <item m="1" x="56"/>
        <item m="1" x="103"/>
        <item m="1" x="20"/>
        <item m="1" x="54"/>
        <item m="1" x="71"/>
        <item m="1" x="75"/>
        <item m="1" x="116"/>
        <item m="1" x="88"/>
        <item m="1" x="50"/>
        <item m="1" x="31"/>
        <item m="1" x="48"/>
        <item m="1" x="108"/>
        <item m="1" x="106"/>
        <item m="1" x="55"/>
        <item m="1" x="43"/>
        <item m="1" x="91"/>
        <item m="1" x="80"/>
        <item m="1" x="76"/>
        <item m="1" x="59"/>
        <item m="1" x="90"/>
        <item m="1" x="63"/>
        <item m="1" x="67"/>
        <item x="7"/>
        <item m="1" x="51"/>
        <item m="1" x="21"/>
        <item m="1" x="60"/>
        <item m="1" x="99"/>
        <item m="1" x="13"/>
        <item m="1" x="41"/>
        <item x="1"/>
        <item m="1" x="78"/>
        <item m="1" x="14"/>
        <item m="1" x="109"/>
        <item m="1" x="92"/>
        <item m="1" x="94"/>
        <item m="1" x="57"/>
        <item m="1" x="100"/>
        <item m="1" x="35"/>
        <item m="1" x="15"/>
        <item m="1" x="89"/>
        <item m="1" x="118"/>
        <item m="1" x="25"/>
        <item m="1" x="62"/>
        <item m="1" x="77"/>
        <item m="1" x="30"/>
        <item m="1" x="84"/>
        <item m="1" x="83"/>
        <item m="1" x="49"/>
        <item m="1" x="52"/>
        <item m="1" x="97"/>
        <item m="1" x="73"/>
        <item m="1" x="32"/>
        <item m="1" x="105"/>
        <item m="1" x="68"/>
        <item m="1" x="24"/>
        <item m="1" x="36"/>
        <item m="1" x="61"/>
        <item m="1" x="64"/>
        <item m="1" x="23"/>
        <item m="1" x="10"/>
        <item m="1" x="102"/>
        <item m="1" x="11"/>
        <item m="1" x="85"/>
        <item m="1" x="104"/>
        <item m="1" x="82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8"/>
    <field x="46"/>
    <field x="45"/>
  </rowFields>
  <rowItems count="12">
    <i>
      <x/>
      <x/>
      <x/>
    </i>
    <i r="1">
      <x v="2"/>
      <x/>
    </i>
    <i>
      <x v="44"/>
      <x v="7"/>
      <x v="4"/>
    </i>
    <i>
      <x v="83"/>
      <x v="16"/>
      <x v="4"/>
    </i>
    <i r="1">
      <x v="27"/>
      <x v="4"/>
    </i>
    <i>
      <x v="49"/>
      <x v="3"/>
      <x v="4"/>
    </i>
    <i>
      <x v="22"/>
      <x v="3"/>
      <x/>
    </i>
    <i>
      <x v="76"/>
      <x v="3"/>
      <x/>
    </i>
    <i>
      <x v="13"/>
      <x v="8"/>
      <x/>
    </i>
    <i>
      <x v="26"/>
      <x v="27"/>
      <x/>
    </i>
    <i>
      <x v="39"/>
      <x v="25"/>
      <x/>
    </i>
    <i t="grand">
      <x/>
    </i>
  </rowItems>
  <colFields count="1">
    <field x="44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Numero de Siniestros" fld="47" subtotal="count" baseField="0" baseItem="0"/>
  </dataFields>
  <formats count="4">
    <format dxfId="77">
      <pivotArea dataOnly="0" labelOnly="1" fieldPosition="0">
        <references count="1">
          <reference field="44" count="0"/>
        </references>
      </pivotArea>
    </format>
    <format dxfId="76">
      <pivotArea outline="0" collapsedLevelsAreSubtotals="1" fieldPosition="0">
        <references count="1">
          <reference field="44" count="0" selected="0"/>
        </references>
      </pivotArea>
    </format>
    <format dxfId="75">
      <pivotArea dataOnly="0" labelOnly="1" outline="0" fieldPosition="0">
        <references count="1">
          <reference field="44" count="0"/>
        </references>
      </pivotArea>
    </format>
    <format dxfId="74">
      <pivotArea dataOnly="0" labelOnly="1" outline="0" fieldPosition="0">
        <references count="1">
          <reference field="48" count="0"/>
        </references>
      </pivotArea>
    </format>
  </formats>
  <conditionalFormats count="1">
    <conditionalFormat type="all" priority="1">
      <pivotAreas count="1">
        <pivotArea grandCol="1" outline="0" fieldPosition="0"/>
      </pivotAreas>
    </conditionalFormat>
  </conditionalFormats>
  <pivotTableStyleInfo name="PivotStyleMedium2" showRowHeaders="1" showColHeaders="1" showRowStripes="0" showColStripes="0" showLastColumn="1"/>
  <filters count="1">
    <filter fld="44" type="thisYear" evalOrder="-1" id="2">
      <autoFilter ref="A1">
        <filterColumn colId="0">
          <dynamicFilter type="thisYear" val="43466" maxVal="4383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0" applyNumberFormats="0" applyBorderFormats="0" applyFontFormats="0" applyPatternFormats="0" applyAlignmentFormats="0" applyWidthHeightFormats="1" dataCaption="Valores" updatedVersion="5" minRefreshableVersion="3" showDrill="0" itemPrintTitles="1" createdVersion="5" indent="0" showHeaders="0" compact="0" compactData="0" multipleFieldFilters="0">
  <location ref="A11:J24" firstHeaderRow="1" firstDataRow="2" firstDataCol="3"/>
  <pivotFields count="4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6">
        <item m="1" x="4"/>
        <item x="0"/>
        <item x="1"/>
        <item x="2"/>
        <item m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4">
        <item x="1"/>
        <item m="1"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m="1" x="6"/>
        <item x="0"/>
        <item x="1"/>
        <item x="2"/>
        <item x="3"/>
        <item x="4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7">
        <item x="0"/>
        <item m="1" x="3"/>
        <item m="1" x="13"/>
        <item m="1" x="14"/>
        <item x="1"/>
        <item m="1" x="7"/>
        <item m="1" x="4"/>
        <item m="1" x="10"/>
        <item m="1" x="11"/>
        <item m="1" x="2"/>
        <item m="1" x="6"/>
        <item m="1" x="5"/>
        <item m="1" x="15"/>
        <item m="1" x="16"/>
        <item m="1" x="12"/>
        <item m="1" x="8"/>
        <item m="1"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">
        <item x="5"/>
        <item m="1" x="16"/>
        <item x="7"/>
        <item x="4"/>
        <item m="1" x="23"/>
        <item m="1" x="13"/>
        <item m="1" x="8"/>
        <item x="3"/>
        <item x="6"/>
        <item m="1" x="29"/>
        <item m="1" x="26"/>
        <item m="1" x="15"/>
        <item m="1" x="19"/>
        <item m="1" x="14"/>
        <item m="1" x="24"/>
        <item m="1" x="9"/>
        <item x="1"/>
        <item m="1" x="12"/>
        <item m="1" x="27"/>
        <item m="1" x="28"/>
        <item m="1" x="20"/>
        <item m="1" x="18"/>
        <item m="1" x="25"/>
        <item m="1" x="10"/>
        <item m="1" x="11"/>
        <item x="0"/>
        <item m="1" x="22"/>
        <item x="2"/>
        <item m="1" x="17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1">
        <item x="5"/>
        <item m="1" x="113"/>
        <item m="1" x="33"/>
        <item m="1" x="85"/>
        <item m="1" x="78"/>
        <item m="1" x="45"/>
        <item m="1" x="69"/>
        <item m="1" x="120"/>
        <item m="1" x="73"/>
        <item m="1" x="32"/>
        <item m="1" x="57"/>
        <item m="1" x="46"/>
        <item m="1" x="15"/>
        <item x="6"/>
        <item m="1" x="39"/>
        <item m="1" x="112"/>
        <item m="1" x="43"/>
        <item m="1" x="16"/>
        <item m="1" x="27"/>
        <item m="1" x="98"/>
        <item m="1" x="96"/>
        <item m="1" x="37"/>
        <item x="4"/>
        <item m="1" x="26"/>
        <item m="1" x="80"/>
        <item m="1" x="101"/>
        <item x="3"/>
        <item m="1" x="25"/>
        <item m="1" x="108"/>
        <item m="1" x="86"/>
        <item m="1" x="116"/>
        <item m="1" x="36"/>
        <item m="1" x="71"/>
        <item m="1" x="28"/>
        <item m="1" x="111"/>
        <item m="1" x="44"/>
        <item m="1" x="114"/>
        <item m="1" x="95"/>
        <item m="1" x="93"/>
        <item x="0"/>
        <item m="1" x="52"/>
        <item m="1" x="68"/>
        <item m="1" x="41"/>
        <item m="1" x="92"/>
        <item m="1" x="18"/>
        <item x="2"/>
        <item m="1" x="17"/>
        <item m="1" x="65"/>
        <item m="1" x="64"/>
        <item m="1" x="21"/>
        <item x="8"/>
        <item m="1" x="115"/>
        <item m="1" x="11"/>
        <item m="1" x="38"/>
        <item m="1" x="118"/>
        <item m="1" x="55"/>
        <item m="1" x="104"/>
        <item m="1" x="19"/>
        <item m="1" x="53"/>
        <item m="1" x="70"/>
        <item m="1" x="74"/>
        <item m="1" x="117"/>
        <item m="1" x="87"/>
        <item m="1" x="49"/>
        <item m="1" x="30"/>
        <item m="1" x="47"/>
        <item m="1" x="109"/>
        <item m="1" x="107"/>
        <item m="1" x="54"/>
        <item m="1" x="42"/>
        <item m="1" x="90"/>
        <item m="1" x="79"/>
        <item m="1" x="75"/>
        <item m="1" x="58"/>
        <item m="1" x="89"/>
        <item m="1" x="62"/>
        <item m="1" x="66"/>
        <item x="7"/>
        <item m="1" x="50"/>
        <item m="1" x="20"/>
        <item m="1" x="59"/>
        <item m="1" x="99"/>
        <item m="1" x="12"/>
        <item m="1" x="40"/>
        <item x="1"/>
        <item m="1" x="77"/>
        <item m="1" x="13"/>
        <item m="1" x="110"/>
        <item m="1" x="91"/>
        <item m="1" x="94"/>
        <item m="1" x="56"/>
        <item m="1" x="100"/>
        <item m="1" x="34"/>
        <item m="1" x="14"/>
        <item m="1" x="88"/>
        <item m="1" x="119"/>
        <item m="1" x="24"/>
        <item m="1" x="61"/>
        <item m="1" x="76"/>
        <item m="1" x="29"/>
        <item m="1" x="83"/>
        <item m="1" x="82"/>
        <item m="1" x="48"/>
        <item m="1" x="51"/>
        <item m="1" x="97"/>
        <item m="1" x="72"/>
        <item m="1" x="31"/>
        <item m="1" x="106"/>
        <item m="1" x="67"/>
        <item m="1" x="23"/>
        <item m="1" x="35"/>
        <item m="1" x="60"/>
        <item m="1" x="63"/>
        <item m="1" x="22"/>
        <item m="1" x="9"/>
        <item m="1" x="103"/>
        <item m="1" x="10"/>
        <item m="1" x="84"/>
        <item m="1" x="105"/>
        <item m="1" x="81"/>
        <item m="1" x="10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8"/>
    <field x="45"/>
    <field x="46"/>
  </rowFields>
  <rowItems count="12">
    <i>
      <x/>
      <x/>
      <x/>
    </i>
    <i r="2">
      <x v="2"/>
    </i>
    <i>
      <x v="26"/>
      <x/>
      <x v="27"/>
    </i>
    <i>
      <x v="13"/>
      <x/>
      <x v="8"/>
    </i>
    <i>
      <x v="77"/>
      <x/>
      <x v="3"/>
    </i>
    <i>
      <x v="45"/>
      <x v="4"/>
      <x v="7"/>
    </i>
    <i>
      <x v="39"/>
      <x/>
      <x v="25"/>
    </i>
    <i>
      <x v="50"/>
      <x v="4"/>
      <x v="3"/>
    </i>
    <i>
      <x v="84"/>
      <x v="4"/>
      <x v="16"/>
    </i>
    <i r="2">
      <x v="27"/>
    </i>
    <i>
      <x v="22"/>
      <x/>
      <x v="3"/>
    </i>
    <i t="grand">
      <x/>
    </i>
  </rowItems>
  <colFields count="1">
    <field x="44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SINIESTRO TOTAL" fld="13" baseField="45" baseItem="2" numFmtId="168"/>
  </dataFields>
  <formats count="5">
    <format dxfId="72">
      <pivotArea dataOnly="0" labelOnly="1" fieldPosition="0">
        <references count="1">
          <reference field="44" count="0"/>
        </references>
      </pivotArea>
    </format>
    <format dxfId="71">
      <pivotArea outline="0" collapsedLevelsAreSubtotals="1" fieldPosition="0">
        <references count="1">
          <reference field="44" count="0" selected="0"/>
        </references>
      </pivotArea>
    </format>
    <format dxfId="70">
      <pivotArea dataOnly="0" labelOnly="1" outline="0" fieldPosition="0">
        <references count="1">
          <reference field="44" count="0"/>
        </references>
      </pivotArea>
    </format>
    <format dxfId="69">
      <pivotArea dataOnly="0" labelOnly="1" outline="0" fieldPosition="0">
        <references count="1">
          <reference field="48" count="0"/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type="all" priority="1">
      <pivotAreas count="1">
        <pivotArea grandCol="1" outline="0" fieldPosition="0"/>
      </pivotAreas>
    </conditionalFormat>
  </conditional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USA" xr10:uid="{00000000-0013-0000-FFFF-FFFF01000000}" sourceName="CAUSA">
  <pivotTables>
    <pivotTable tabId="5" name="Tabla dinámica1"/>
  </pivotTables>
  <data>
    <tabular pivotCacheId="6">
      <items count="8">
        <i x="0" s="1"/>
        <i x="1" s="1"/>
        <i x="2" s="1"/>
        <i x="6" s="1" nd="1"/>
        <i x="7" s="1" nd="1"/>
        <i x="5" s="1" nd="1"/>
        <i x="4" s="1" nd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BERTURA_AFECTADA" xr10:uid="{00000000-0013-0000-FFFF-FFFF02000000}" sourceName="COBERTURA AFECTADA">
  <pivotTables>
    <pivotTable tabId="5" name="Tabla dinámica1"/>
  </pivotTables>
  <data>
    <tabular pivotCacheId="6">
      <items count="6">
        <i x="1" s="1"/>
        <i x="0" s="1"/>
        <i x="2" s="1" nd="1"/>
        <i x="3" s="1" nd="1"/>
        <i x="5" s="1" nd="1"/>
        <i x="4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SERVICIO" xr10:uid="{00000000-0013-0000-FFFF-FFFF03000000}" sourceName="TIPO DE SERVICIO">
  <pivotTables>
    <pivotTable tabId="5" name="Tabla dinámica1"/>
  </pivotTables>
  <data>
    <tabular pivotCacheId="6">
      <items count="18">
        <i x="0" s="1"/>
        <i x="1" s="1"/>
        <i x="4" s="1" nd="1"/>
        <i x="14" s="1" nd="1"/>
        <i x="15" s="1" nd="1"/>
        <i x="8" s="1" nd="1"/>
        <i x="5" s="1" nd="1"/>
        <i x="11" s="1" nd="1"/>
        <i x="12" s="1" nd="1"/>
        <i x="3" s="1" nd="1"/>
        <i x="7" s="1" nd="1"/>
        <i x="6" s="1" nd="1"/>
        <i x="16" s="1" nd="1"/>
        <i x="17" s="1" nd="1"/>
        <i x="13" s="1" nd="1"/>
        <i x="9" s="1" nd="1"/>
        <i x="10" s="1" nd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UDAD" xr10:uid="{00000000-0013-0000-FFFF-FFFF04000000}" sourceName="CIUDAD">
  <pivotTables>
    <pivotTable tabId="5" name="Tabla dinámica1"/>
  </pivotTables>
  <data>
    <tabular pivotCacheId="6">
      <items count="31">
        <i x="5" s="1"/>
        <i x="7" s="1"/>
        <i x="4" s="1"/>
        <i x="3" s="1"/>
        <i x="6" s="1"/>
        <i x="1" s="1"/>
        <i x="0" s="1"/>
        <i x="2" s="1"/>
        <i x="17" s="1" nd="1"/>
        <i x="24" s="1" nd="1"/>
        <i x="14" s="1" nd="1"/>
        <i x="9" s="1" nd="1"/>
        <i x="30" s="1" nd="1"/>
        <i x="27" s="1" nd="1"/>
        <i x="16" s="1" nd="1"/>
        <i x="20" s="1" nd="1"/>
        <i x="15" s="1" nd="1"/>
        <i x="25" s="1" nd="1"/>
        <i x="10" s="1" nd="1"/>
        <i x="13" s="1" nd="1"/>
        <i x="28" s="1" nd="1"/>
        <i x="29" s="1" nd="1"/>
        <i x="21" s="1" nd="1"/>
        <i x="19" s="1" nd="1"/>
        <i x="26" s="1" nd="1"/>
        <i x="11" s="1" nd="1"/>
        <i x="12" s="1" nd="1"/>
        <i x="23" s="1" nd="1"/>
        <i x="18" s="1" nd="1"/>
        <i x="22" s="1" nd="1"/>
        <i x="8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USA1" xr10:uid="{00000000-0013-0000-FFFF-FFFF05000000}" sourceName="CAUSA">
  <pivotTables>
    <pivotTable tabId="17" name="Tabla dinámica3"/>
    <pivotTable tabId="17" name="Tabla dinámica4"/>
  </pivotTables>
  <data>
    <tabular pivotCacheId="6">
      <items count="8">
        <i x="0" s="1"/>
        <i x="6" nd="1"/>
        <i x="7" nd="1"/>
        <i x="1" nd="1"/>
        <i x="2" nd="1"/>
        <i x="5" nd="1"/>
        <i x="4" nd="1"/>
        <i x="3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SERVICIO1" xr10:uid="{00000000-0013-0000-FFFF-FFFF06000000}" sourceName="TIPO DE SERVICIO">
  <pivotTables>
    <pivotTable tabId="17" name="Tabla dinámica3"/>
    <pivotTable tabId="17" name="Tabla dinámica4"/>
  </pivotTables>
  <data>
    <tabular pivotCacheId="6">
      <items count="18">
        <i x="0" s="1"/>
        <i x="1" s="1"/>
        <i x="4" s="1" nd="1"/>
        <i x="14" s="1" nd="1"/>
        <i x="15" s="1" nd="1"/>
        <i x="8" s="1" nd="1"/>
        <i x="5" s="1" nd="1"/>
        <i x="11" s="1" nd="1"/>
        <i x="12" s="1" nd="1"/>
        <i x="3" s="1" nd="1"/>
        <i x="7" s="1" nd="1"/>
        <i x="6" s="1" nd="1"/>
        <i x="16" s="1" nd="1"/>
        <i x="17" s="1" nd="1"/>
        <i x="13" s="1" nd="1"/>
        <i x="9" s="1" nd="1"/>
        <i x="10" s="1" nd="1"/>
        <i x="2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UDAD1" xr10:uid="{00000000-0013-0000-FFFF-FFFF07000000}" sourceName="CIUDAD">
  <pivotTables>
    <pivotTable tabId="17" name="Tabla dinámica3"/>
    <pivotTable tabId="17" name="Tabla dinámica4"/>
  </pivotTables>
  <data>
    <tabular pivotCacheId="6">
      <items count="31">
        <i x="4" s="1"/>
        <i x="3"/>
        <i x="6"/>
        <i x="0"/>
        <i x="2"/>
        <i x="5" nd="1"/>
        <i x="17" nd="1"/>
        <i x="7" nd="1"/>
        <i x="24" nd="1"/>
        <i x="14" nd="1"/>
        <i x="9" nd="1"/>
        <i x="30" nd="1"/>
        <i x="27" nd="1"/>
        <i x="16" nd="1"/>
        <i x="20" nd="1"/>
        <i x="15" nd="1"/>
        <i x="25" nd="1"/>
        <i x="10" nd="1"/>
        <i x="1" nd="1"/>
        <i x="13" nd="1"/>
        <i x="28" nd="1"/>
        <i x="29" nd="1"/>
        <i x="21" nd="1"/>
        <i x="19" nd="1"/>
        <i x="26" nd="1"/>
        <i x="11" nd="1"/>
        <i x="12" nd="1"/>
        <i x="23" nd="1"/>
        <i x="18" nd="1"/>
        <i x="22" nd="1"/>
        <i x="8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00000000-0013-0000-FFFF-FFFF08000000}" sourceName="Nombre">
  <pivotTables>
    <pivotTable tabId="17" name="Tabla dinámica3"/>
    <pivotTable tabId="17" name="Tabla dinámica4"/>
  </pivotTables>
  <data>
    <tabular pivotCacheId="6">
      <items count="120">
        <i x="4" s="1"/>
        <i x="8" s="1"/>
        <i x="7" s="1"/>
        <i x="5" s="1" nd="1"/>
        <i x="112" s="1" nd="1"/>
        <i x="10" s="1" nd="1"/>
        <i x="34" s="1" nd="1"/>
        <i x="86" s="1" nd="1"/>
        <i x="79" s="1" nd="1"/>
        <i x="46" s="1" nd="1"/>
        <i x="70" s="1" nd="1"/>
        <i x="119" s="1" nd="1"/>
        <i x="74" s="1" nd="1"/>
        <i x="33" s="1" nd="1"/>
        <i x="58" s="1" nd="1"/>
        <i x="47" s="1" nd="1"/>
        <i x="16" s="1" nd="1"/>
        <i x="6" s="1" nd="1"/>
        <i x="40" s="1" nd="1"/>
        <i x="111" s="1" nd="1"/>
        <i x="44" s="1" nd="1"/>
        <i x="17" s="1" nd="1"/>
        <i x="28" s="1" nd="1"/>
        <i x="98" s="1" nd="1"/>
        <i x="96" s="1" nd="1"/>
        <i x="38" s="1" nd="1"/>
        <i x="27" s="1" nd="1"/>
        <i x="81" s="1" nd="1"/>
        <i x="101" s="1" nd="1"/>
        <i x="3" s="1" nd="1"/>
        <i x="26" s="1" nd="1"/>
        <i x="11" s="1" nd="1"/>
        <i x="104" s="1" nd="1"/>
        <i x="107" s="1" nd="1"/>
        <i x="87" s="1" nd="1"/>
        <i x="115" s="1" nd="1"/>
        <i x="37" s="1" nd="1"/>
        <i x="72" s="1" nd="1"/>
        <i x="29" s="1" nd="1"/>
        <i x="82" s="1" nd="1"/>
        <i x="110" s="1" nd="1"/>
        <i x="45" s="1" nd="1"/>
        <i x="113" s="1" nd="1"/>
        <i x="95" s="1" nd="1"/>
        <i x="93" s="1" nd="1"/>
        <i x="0" s="1" nd="1"/>
        <i x="53" s="1" nd="1"/>
        <i x="69" s="1" nd="1"/>
        <i x="42" s="1" nd="1"/>
        <i x="19" s="1" nd="1"/>
        <i x="2" s="1" nd="1"/>
        <i x="102" s="1" nd="1"/>
        <i x="18" s="1" nd="1"/>
        <i x="66" s="1" nd="1"/>
        <i x="65" s="1" nd="1"/>
        <i x="22" s="1" nd="1"/>
        <i x="114" s="1" nd="1"/>
        <i x="12" s="1" nd="1"/>
        <i x="39" s="1" nd="1"/>
        <i x="117" s="1" nd="1"/>
        <i x="56" s="1" nd="1"/>
        <i x="103" s="1" nd="1"/>
        <i x="20" s="1" nd="1"/>
        <i x="54" s="1" nd="1"/>
        <i x="71" s="1" nd="1"/>
        <i x="75" s="1" nd="1"/>
        <i x="116" s="1" nd="1"/>
        <i x="88" s="1" nd="1"/>
        <i x="50" s="1" nd="1"/>
        <i x="31" s="1" nd="1"/>
        <i x="48" s="1" nd="1"/>
        <i x="108" s="1" nd="1"/>
        <i x="106" s="1" nd="1"/>
        <i x="55" s="1" nd="1"/>
        <i x="43" s="1" nd="1"/>
        <i x="91" s="1" nd="1"/>
        <i x="80" s="1" nd="1"/>
        <i x="76" s="1" nd="1"/>
        <i x="59" s="1" nd="1"/>
        <i x="90" s="1" nd="1"/>
        <i x="63" s="1" nd="1"/>
        <i x="67" s="1" nd="1"/>
        <i x="51" s="1" nd="1"/>
        <i x="21" s="1" nd="1"/>
        <i x="60" s="1" nd="1"/>
        <i x="99" s="1" nd="1"/>
        <i x="13" s="1" nd="1"/>
        <i x="41" s="1" nd="1"/>
        <i x="1" s="1" nd="1"/>
        <i x="78" s="1" nd="1"/>
        <i x="14" s="1" nd="1"/>
        <i x="109" s="1" nd="1"/>
        <i x="92" s="1" nd="1"/>
        <i x="94" s="1" nd="1"/>
        <i x="57" s="1" nd="1"/>
        <i x="100" s="1" nd="1"/>
        <i x="35" s="1" nd="1"/>
        <i x="15" s="1" nd="1"/>
        <i x="89" s="1" nd="1"/>
        <i x="118" s="1" nd="1"/>
        <i x="25" s="1" nd="1"/>
        <i x="62" s="1" nd="1"/>
        <i x="77" s="1" nd="1"/>
        <i x="30" s="1" nd="1"/>
        <i x="84" s="1" nd="1"/>
        <i x="83" s="1" nd="1"/>
        <i x="49" s="1" nd="1"/>
        <i x="52" s="1" nd="1"/>
        <i x="97" s="1" nd="1"/>
        <i x="73" s="1" nd="1"/>
        <i x="32" s="1" nd="1"/>
        <i x="105" s="1" nd="1"/>
        <i x="68" s="1" nd="1"/>
        <i x="24" s="1" nd="1"/>
        <i x="36" s="1" nd="1"/>
        <i x="61" s="1" nd="1"/>
        <i x="85" s="1" nd="1"/>
        <i x="64" s="1" nd="1"/>
        <i x="23" s="1" nd="1"/>
        <i x="9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USA2" xr10:uid="{00000000-0013-0000-FFFF-FFFF09000000}" sourceName="CAUSA">
  <pivotTables>
    <pivotTable tabId="19" name="Tabla dinámica1"/>
  </pivotTables>
  <data>
    <tabular pivotCacheId="2">
      <items count="5">
        <i x="0" s="1"/>
        <i x="1" s="1"/>
        <i x="2" s="1"/>
        <i x="4" s="1" nd="1"/>
        <i x="3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BERTURA_AFECTADA1" xr10:uid="{00000000-0013-0000-FFFF-FFFF0A000000}" sourceName="COBERTURA AFECTADA">
  <pivotTables>
    <pivotTable tabId="19" name="Tabla dinámica1"/>
  </pivotTables>
  <data>
    <tabular pivotCacheId="2">
      <items count="3">
        <i x="1" s="1"/>
        <i x="0" s="1"/>
        <i x="2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SERVICIO2" xr10:uid="{00000000-0013-0000-FFFF-FFFF0B000000}" sourceName="TIPO DE SERVICIO">
  <pivotTables>
    <pivotTable tabId="19" name="Tabla dinámica1"/>
  </pivotTables>
  <data>
    <tabular pivotCacheId="2">
      <items count="17">
        <i x="0" s="1"/>
        <i x="1" s="1"/>
        <i x="3" s="1" nd="1"/>
        <i x="13" s="1" nd="1"/>
        <i x="14" s="1" nd="1"/>
        <i x="7" s="1" nd="1"/>
        <i x="4" s="1" nd="1"/>
        <i x="10" s="1" nd="1"/>
        <i x="11" s="1" nd="1"/>
        <i x="2" s="1" nd="1"/>
        <i x="6" s="1" nd="1"/>
        <i x="5" s="1" nd="1"/>
        <i x="15" s="1" nd="1"/>
        <i x="16" s="1" nd="1"/>
        <i x="12" s="1" nd="1"/>
        <i x="8" s="1" nd="1"/>
        <i x="9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UDAD2" xr10:uid="{00000000-0013-0000-FFFF-FFFF0C000000}" sourceName="CIUDAD">
  <pivotTables>
    <pivotTable tabId="19" name="Tabla dinámica1"/>
  </pivotTables>
  <data>
    <tabular pivotCacheId="2">
      <items count="30">
        <i x="5" s="1"/>
        <i x="7" s="1"/>
        <i x="4" s="1"/>
        <i x="3" s="1"/>
        <i x="6" s="1"/>
        <i x="1" s="1"/>
        <i x="0" s="1"/>
        <i x="2" s="1"/>
        <i x="16" s="1" nd="1"/>
        <i x="23" s="1" nd="1"/>
        <i x="13" s="1" nd="1"/>
        <i x="8" s="1" nd="1"/>
        <i x="29" s="1" nd="1"/>
        <i x="26" s="1" nd="1"/>
        <i x="15" s="1" nd="1"/>
        <i x="19" s="1" nd="1"/>
        <i x="14" s="1" nd="1"/>
        <i x="24" s="1" nd="1"/>
        <i x="9" s="1" nd="1"/>
        <i x="12" s="1" nd="1"/>
        <i x="27" s="1" nd="1"/>
        <i x="28" s="1" nd="1"/>
        <i x="20" s="1" nd="1"/>
        <i x="18" s="1" nd="1"/>
        <i x="25" s="1" nd="1"/>
        <i x="10" s="1" nd="1"/>
        <i x="11" s="1" nd="1"/>
        <i x="22" s="1" nd="1"/>
        <i x="17" s="1" nd="1"/>
        <i x="2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USA 1" xr10:uid="{00000000-0014-0000-FFFF-FFFF01000000}" cache="SegmentaciónDeDatos_CAUSA1" caption="CAUSA" style="SlicerStyleDark1" rowHeight="225425"/>
  <slicer name="TIPO DE SERVICIO 1" xr10:uid="{00000000-0014-0000-FFFF-FFFF02000000}" cache="SegmentaciónDeDatos_TIPO_DE_SERVICIO1" caption="TIPO DE SERVICIO" style="SlicerStyleDark1" rowHeight="225425"/>
  <slicer name="CIUDAD 1" xr10:uid="{00000000-0014-0000-FFFF-FFFF03000000}" cache="SegmentaciónDeDatos_CIUDAD1" caption="CIUDAD" style="SlicerStyleOther1" rowHeight="225425"/>
  <slicer name="Nombre" xr10:uid="{00000000-0014-0000-FFFF-FFFF04000000}" cache="SegmentaciónDeDatos_Nombre" caption="Nombre" style="SlicerStyleOther1" rowHeight="22542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USA" xr10:uid="{00000000-0014-0000-FFFF-FFFF05000000}" cache="SegmentaciónDeDatos_CAUSA" caption="CAUSA" style="SlicerStyleDark6" rowHeight="225425"/>
  <slicer name="COBERTURA AFECTADA" xr10:uid="{00000000-0014-0000-FFFF-FFFF06000000}" cache="SegmentaciónDeDatos_COBERTURA_AFECTADA" caption="COBERTURA AFECTADA" style="SlicerStyleDark1" rowHeight="225425"/>
  <slicer name="TIPO DE SERVICIO" xr10:uid="{00000000-0014-0000-FFFF-FFFF07000000}" cache="SegmentaciónDeDatos_TIPO_DE_SERVICIO" caption="TIPO DE SERVICIO" style="SlicerStyleDark1" rowHeight="225425"/>
  <slicer name="CIUDAD" xr10:uid="{00000000-0014-0000-FFFF-FFFF08000000}" cache="SegmentaciónDeDatos_CIUDAD" caption="CIUDAD" style="SlicerStyleDark6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USA 2" xr10:uid="{00000000-0014-0000-FFFF-FFFF09000000}" cache="SegmentaciónDeDatos_CAUSA2" caption="CAUSA" style="SlicerStyleDark6" rowHeight="225425"/>
  <slicer name="COBERTURA AFECTADA 1" xr10:uid="{00000000-0014-0000-FFFF-FFFF0A000000}" cache="SegmentaciónDeDatos_COBERTURA_AFECTADA1" caption="COBERTURA AFECTADA" style="SlicerStyleDark1" rowHeight="225425"/>
  <slicer name="TIPO DE SERVICIO 2" xr10:uid="{00000000-0014-0000-FFFF-FFFF0B000000}" cache="SegmentaciónDeDatos_TIPO_DE_SERVICIO2" caption="TIPO DE SERVICIO" style="SlicerStyleDark1" rowHeight="225425"/>
  <slicer name="CIUDAD 2" xr10:uid="{00000000-0014-0000-FFFF-FFFF0C000000}" cache="SegmentaciónDeDatos_CIUDAD2" caption="CIUDAD" style="SlicerStyleDark6" rowHeight="225425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Relationship Id="rId5" Type="http://schemas.microsoft.com/office/2007/relationships/slicer" Target="../slicers/slicer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6:L26"/>
  <sheetViews>
    <sheetView workbookViewId="0">
      <selection activeCell="K13" sqref="K13:K19"/>
    </sheetView>
  </sheetViews>
  <sheetFormatPr baseColWidth="10" defaultRowHeight="12.75"/>
  <cols>
    <col min="3" max="4" width="11.7109375" customWidth="1"/>
    <col min="5" max="6" width="10.7109375" customWidth="1"/>
    <col min="7" max="10" width="14.7109375" customWidth="1"/>
    <col min="11" max="11" width="17.7109375" customWidth="1"/>
    <col min="12" max="12" width="8.7109375" customWidth="1"/>
  </cols>
  <sheetData>
    <row r="6" spans="1:12" ht="15.75">
      <c r="A6" s="25" t="s">
        <v>30</v>
      </c>
    </row>
    <row r="7" spans="1:12">
      <c r="A7" s="24" t="s">
        <v>492</v>
      </c>
    </row>
    <row r="9" spans="1:12" ht="26.25">
      <c r="A9" s="129" t="s">
        <v>29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1"/>
    </row>
    <row r="10" spans="1:12" ht="12.75" customHeight="1">
      <c r="A10" s="132" t="s">
        <v>28</v>
      </c>
      <c r="B10" s="132" t="s">
        <v>27</v>
      </c>
      <c r="C10" s="132" t="s">
        <v>26</v>
      </c>
      <c r="D10" s="134" t="s">
        <v>25</v>
      </c>
      <c r="E10" s="136" t="s">
        <v>24</v>
      </c>
      <c r="F10" s="136" t="s">
        <v>23</v>
      </c>
      <c r="G10" s="138" t="s">
        <v>22</v>
      </c>
      <c r="H10" s="139"/>
      <c r="I10" s="139"/>
      <c r="J10" s="140"/>
      <c r="K10" s="134" t="s">
        <v>21</v>
      </c>
      <c r="L10" s="134" t="s">
        <v>20</v>
      </c>
    </row>
    <row r="11" spans="1:12">
      <c r="A11" s="133"/>
      <c r="B11" s="133"/>
      <c r="C11" s="133"/>
      <c r="D11" s="135"/>
      <c r="E11" s="137"/>
      <c r="F11" s="137"/>
      <c r="G11" s="23" t="s">
        <v>19</v>
      </c>
      <c r="H11" s="23" t="s">
        <v>18</v>
      </c>
      <c r="I11" s="22" t="s">
        <v>17</v>
      </c>
      <c r="J11" s="21" t="s">
        <v>16</v>
      </c>
      <c r="K11" s="135"/>
      <c r="L11" s="135"/>
    </row>
    <row r="12" spans="1:12">
      <c r="A12" s="133"/>
      <c r="B12" s="133"/>
      <c r="C12" s="133"/>
      <c r="D12" s="135"/>
      <c r="E12" s="137"/>
      <c r="F12" s="137"/>
      <c r="G12" s="20" t="s">
        <v>15</v>
      </c>
      <c r="H12" s="20" t="s">
        <v>14</v>
      </c>
      <c r="I12" s="18" t="s">
        <v>13</v>
      </c>
      <c r="J12" s="19" t="s">
        <v>12</v>
      </c>
      <c r="K12" s="18" t="s">
        <v>11</v>
      </c>
      <c r="L12" s="18" t="s">
        <v>10</v>
      </c>
    </row>
    <row r="13" spans="1:12" ht="14.25">
      <c r="A13" s="71" t="s">
        <v>9</v>
      </c>
      <c r="B13" s="72" t="s">
        <v>8</v>
      </c>
      <c r="C13" s="72" t="s">
        <v>7</v>
      </c>
      <c r="D13" s="72" t="s">
        <v>3</v>
      </c>
      <c r="E13" s="73">
        <v>638</v>
      </c>
      <c r="F13" s="73">
        <v>482</v>
      </c>
      <c r="G13" s="74">
        <v>3730758.08</v>
      </c>
      <c r="H13" s="74">
        <v>2175234.3100000005</v>
      </c>
      <c r="I13" s="74">
        <v>3730758.08</v>
      </c>
      <c r="J13" s="74">
        <v>2493400.7600000007</v>
      </c>
      <c r="K13" s="74">
        <v>1355163.74</v>
      </c>
      <c r="L13" s="75">
        <v>0.54350017122798966</v>
      </c>
    </row>
    <row r="14" spans="1:12" ht="14.25">
      <c r="A14" s="76"/>
      <c r="B14" s="77"/>
      <c r="C14" s="77" t="s">
        <v>6</v>
      </c>
      <c r="D14" s="77" t="s">
        <v>3</v>
      </c>
      <c r="E14" s="78">
        <v>89</v>
      </c>
      <c r="F14" s="78">
        <v>0</v>
      </c>
      <c r="G14" s="79">
        <v>581851.99</v>
      </c>
      <c r="H14" s="79">
        <v>320187.35999999993</v>
      </c>
      <c r="I14" s="79">
        <v>581851.99</v>
      </c>
      <c r="J14" s="79">
        <v>581851.99</v>
      </c>
      <c r="K14" s="79">
        <v>189410.45</v>
      </c>
      <c r="L14" s="80">
        <v>0.32553029508415021</v>
      </c>
    </row>
    <row r="15" spans="1:12" ht="14.25">
      <c r="A15" s="76"/>
      <c r="B15" s="77"/>
      <c r="C15" s="77" t="s">
        <v>5</v>
      </c>
      <c r="D15" s="77" t="s">
        <v>3</v>
      </c>
      <c r="E15" s="78">
        <v>66</v>
      </c>
      <c r="F15" s="78">
        <v>0</v>
      </c>
      <c r="G15" s="79">
        <v>382947.83999999997</v>
      </c>
      <c r="H15" s="79">
        <v>192726.56</v>
      </c>
      <c r="I15" s="79">
        <v>382947.83999999997</v>
      </c>
      <c r="J15" s="79">
        <v>382947.83999999997</v>
      </c>
      <c r="K15" s="79">
        <v>-2218.2299999999996</v>
      </c>
      <c r="L15" s="80">
        <v>-5.7925121081764024E-3</v>
      </c>
    </row>
    <row r="16" spans="1:12" ht="14.25">
      <c r="A16" s="76"/>
      <c r="B16" s="77"/>
      <c r="C16" s="77" t="s">
        <v>4</v>
      </c>
      <c r="D16" s="77" t="s">
        <v>3</v>
      </c>
      <c r="E16" s="78">
        <v>2</v>
      </c>
      <c r="F16" s="78">
        <v>0</v>
      </c>
      <c r="G16" s="79">
        <v>0</v>
      </c>
      <c r="H16" s="79">
        <v>0</v>
      </c>
      <c r="I16" s="79">
        <v>0</v>
      </c>
      <c r="J16" s="79">
        <v>0</v>
      </c>
      <c r="K16" s="79">
        <v>0</v>
      </c>
      <c r="L16" s="80">
        <v>0</v>
      </c>
    </row>
    <row r="17" spans="1:12" ht="14.25">
      <c r="A17" s="76"/>
      <c r="B17" s="77"/>
      <c r="C17" s="77" t="s">
        <v>451</v>
      </c>
      <c r="D17" s="77" t="s">
        <v>3</v>
      </c>
      <c r="E17" s="78">
        <v>9</v>
      </c>
      <c r="F17" s="78">
        <v>0</v>
      </c>
      <c r="G17" s="79">
        <v>0</v>
      </c>
      <c r="H17" s="79">
        <v>-9.9999999999909051E-3</v>
      </c>
      <c r="I17" s="79">
        <v>0</v>
      </c>
      <c r="J17" s="79">
        <v>0</v>
      </c>
      <c r="K17" s="79">
        <v>18006.7</v>
      </c>
      <c r="L17" s="80">
        <v>0</v>
      </c>
    </row>
    <row r="18" spans="1:12" ht="14.25">
      <c r="A18" s="76"/>
      <c r="B18" s="77"/>
      <c r="C18" s="77" t="s">
        <v>459</v>
      </c>
      <c r="D18" s="77" t="s">
        <v>3</v>
      </c>
      <c r="E18" s="78">
        <v>10</v>
      </c>
      <c r="F18" s="78">
        <v>0</v>
      </c>
      <c r="G18" s="79">
        <v>0</v>
      </c>
      <c r="H18" s="79">
        <v>0</v>
      </c>
      <c r="I18" s="79">
        <v>0</v>
      </c>
      <c r="J18" s="79">
        <v>0</v>
      </c>
      <c r="K18" s="79">
        <v>0</v>
      </c>
      <c r="L18" s="80">
        <v>0</v>
      </c>
    </row>
    <row r="19" spans="1:12" ht="14.25">
      <c r="A19" s="76"/>
      <c r="B19" s="77"/>
      <c r="C19" s="77" t="s">
        <v>493</v>
      </c>
      <c r="D19" s="77" t="s">
        <v>3</v>
      </c>
      <c r="E19" s="78">
        <v>5</v>
      </c>
      <c r="F19" s="78">
        <v>5</v>
      </c>
      <c r="G19" s="79">
        <v>11917.83</v>
      </c>
      <c r="H19" s="79">
        <v>1492.95</v>
      </c>
      <c r="I19" s="79">
        <v>0</v>
      </c>
      <c r="J19" s="79">
        <v>0</v>
      </c>
      <c r="K19" s="79">
        <v>0</v>
      </c>
      <c r="L19" s="80">
        <v>0</v>
      </c>
    </row>
    <row r="20" spans="1:12" ht="14.25">
      <c r="A20" s="76"/>
      <c r="B20" s="17" t="s">
        <v>2</v>
      </c>
      <c r="C20" s="16"/>
      <c r="D20" s="15"/>
      <c r="E20" s="14">
        <v>819</v>
      </c>
      <c r="F20" s="14">
        <v>487</v>
      </c>
      <c r="G20" s="13">
        <v>4707475.74</v>
      </c>
      <c r="H20" s="13">
        <v>2689641.1700000009</v>
      </c>
      <c r="I20" s="13">
        <v>4695557.91</v>
      </c>
      <c r="J20" s="13">
        <v>3458200.5900000008</v>
      </c>
      <c r="K20" s="13">
        <v>1560362.66</v>
      </c>
      <c r="L20" s="12">
        <v>0.45120652182874088</v>
      </c>
    </row>
    <row r="21" spans="1:12">
      <c r="A21" s="7" t="s">
        <v>1</v>
      </c>
      <c r="B21" s="11"/>
      <c r="C21" s="11"/>
      <c r="D21" s="10"/>
      <c r="E21" s="4">
        <v>819</v>
      </c>
      <c r="F21" s="4">
        <v>487</v>
      </c>
      <c r="G21" s="3">
        <v>4707475.74</v>
      </c>
      <c r="H21" s="3">
        <v>2689641.1700000009</v>
      </c>
      <c r="I21" s="3">
        <v>4695557.91</v>
      </c>
      <c r="J21" s="3">
        <v>3458200.5900000008</v>
      </c>
      <c r="K21" s="3">
        <v>1560362.66</v>
      </c>
      <c r="L21" s="9">
        <v>0.45120652182874088</v>
      </c>
    </row>
    <row r="22" spans="1:12" s="1" customFormat="1" ht="14.25">
      <c r="A22" s="81"/>
      <c r="B22" s="81"/>
      <c r="C22" s="81"/>
      <c r="D22" s="81"/>
      <c r="E22" s="78"/>
      <c r="F22" s="78"/>
      <c r="G22" s="79"/>
      <c r="H22" s="79"/>
      <c r="I22" s="79"/>
      <c r="J22" s="79"/>
      <c r="K22" s="79"/>
      <c r="L22" s="82"/>
    </row>
    <row r="23" spans="1:12" s="1" customFormat="1" ht="14.25">
      <c r="A23" s="81"/>
      <c r="B23" s="81"/>
      <c r="C23" s="81"/>
      <c r="D23" s="81"/>
      <c r="E23" s="78"/>
      <c r="F23" s="78"/>
      <c r="G23" s="79"/>
      <c r="H23" s="79"/>
      <c r="I23" s="79"/>
      <c r="J23" s="79"/>
      <c r="K23" s="79"/>
      <c r="L23" s="82"/>
    </row>
    <row r="24" spans="1:12" s="1" customFormat="1" ht="14.25">
      <c r="A24" s="81"/>
      <c r="B24" s="81"/>
      <c r="C24" s="81"/>
      <c r="D24" s="81"/>
      <c r="E24" s="78"/>
      <c r="F24" s="78"/>
      <c r="G24" s="79"/>
      <c r="H24" s="79"/>
      <c r="I24" s="79"/>
      <c r="J24" s="79"/>
      <c r="K24" s="79"/>
      <c r="L24" s="82"/>
    </row>
    <row r="25" spans="1:12" s="1" customFormat="1" ht="14.25">
      <c r="A25" s="81"/>
      <c r="B25" s="81"/>
      <c r="C25" s="81"/>
      <c r="D25" s="81"/>
      <c r="E25" s="78"/>
      <c r="F25" s="78"/>
      <c r="G25" s="79"/>
      <c r="H25" s="79"/>
      <c r="I25" s="79"/>
      <c r="J25" s="79"/>
      <c r="K25" s="79"/>
      <c r="L25" s="82"/>
    </row>
    <row r="26" spans="1:12" s="1" customFormat="1">
      <c r="A26" s="7" t="s">
        <v>0</v>
      </c>
      <c r="B26" s="6" t="s">
        <v>494</v>
      </c>
      <c r="C26" s="6"/>
      <c r="D26" s="5"/>
      <c r="E26" s="4">
        <v>819</v>
      </c>
      <c r="F26" s="4">
        <v>487</v>
      </c>
      <c r="G26" s="3">
        <v>4707475.74</v>
      </c>
      <c r="H26" s="3">
        <v>2689641.1700000009</v>
      </c>
      <c r="I26" s="3">
        <v>4695557.91</v>
      </c>
      <c r="J26" s="3">
        <v>3458200.5900000008</v>
      </c>
      <c r="K26" s="3">
        <v>1560362.66</v>
      </c>
      <c r="L26" s="2">
        <v>0.45120652182874088</v>
      </c>
    </row>
  </sheetData>
  <mergeCells count="10">
    <mergeCell ref="A9:L9"/>
    <mergeCell ref="A10:A12"/>
    <mergeCell ref="B10:B12"/>
    <mergeCell ref="C10:C12"/>
    <mergeCell ref="D10:D12"/>
    <mergeCell ref="E10:E12"/>
    <mergeCell ref="F10:F12"/>
    <mergeCell ref="G10:J10"/>
    <mergeCell ref="K10:K11"/>
    <mergeCell ref="L10:L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6:M51"/>
  <sheetViews>
    <sheetView topLeftCell="A4" zoomScale="90" zoomScaleNormal="90" workbookViewId="0">
      <selection activeCell="H4" sqref="H4"/>
    </sheetView>
  </sheetViews>
  <sheetFormatPr baseColWidth="10" defaultRowHeight="12.75"/>
  <cols>
    <col min="3" max="3" width="11.7109375" customWidth="1"/>
    <col min="4" max="6" width="10.7109375" customWidth="1"/>
    <col min="7" max="9" width="14.7109375" customWidth="1"/>
    <col min="10" max="10" width="17.85546875" customWidth="1"/>
    <col min="11" max="12" width="14.7109375" customWidth="1"/>
    <col min="13" max="13" width="17.7109375" customWidth="1"/>
    <col min="14" max="14" width="14.7109375" customWidth="1"/>
  </cols>
  <sheetData>
    <row r="6" spans="1:13" ht="15.75">
      <c r="A6" s="25" t="s">
        <v>45</v>
      </c>
    </row>
    <row r="7" spans="1:13">
      <c r="A7" s="24" t="s">
        <v>492</v>
      </c>
    </row>
    <row r="9" spans="1:13" ht="26.25">
      <c r="A9" s="143" t="s">
        <v>44</v>
      </c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5"/>
      <c r="M9" s="91"/>
    </row>
    <row r="10" spans="1:13" ht="12.75" customHeight="1">
      <c r="A10" s="146" t="s">
        <v>28</v>
      </c>
      <c r="B10" s="146" t="s">
        <v>27</v>
      </c>
      <c r="C10" s="146" t="s">
        <v>43</v>
      </c>
      <c r="D10" s="148" t="s">
        <v>42</v>
      </c>
      <c r="E10" s="148" t="s">
        <v>41</v>
      </c>
      <c r="F10" s="148" t="s">
        <v>40</v>
      </c>
      <c r="G10" s="151" t="s">
        <v>39</v>
      </c>
      <c r="H10" s="141" t="s">
        <v>38</v>
      </c>
      <c r="I10" s="141" t="s">
        <v>37</v>
      </c>
      <c r="J10" s="141" t="s">
        <v>36</v>
      </c>
      <c r="K10" s="141" t="s">
        <v>35</v>
      </c>
      <c r="L10" s="141" t="s">
        <v>34</v>
      </c>
      <c r="M10" s="141" t="s">
        <v>21</v>
      </c>
    </row>
    <row r="11" spans="1:13">
      <c r="A11" s="147"/>
      <c r="B11" s="147"/>
      <c r="C11" s="147"/>
      <c r="D11" s="149"/>
      <c r="E11" s="149"/>
      <c r="F11" s="149"/>
      <c r="G11" s="152"/>
      <c r="H11" s="142"/>
      <c r="I11" s="142"/>
      <c r="J11" s="142"/>
      <c r="K11" s="142"/>
      <c r="L11" s="142"/>
      <c r="M11" s="142"/>
    </row>
    <row r="12" spans="1:13" ht="21">
      <c r="A12" s="147"/>
      <c r="B12" s="147"/>
      <c r="C12" s="147"/>
      <c r="D12" s="150"/>
      <c r="E12" s="150"/>
      <c r="F12" s="150"/>
      <c r="G12" s="18" t="s">
        <v>15</v>
      </c>
      <c r="H12" s="28" t="s">
        <v>14</v>
      </c>
      <c r="I12" s="28" t="s">
        <v>13</v>
      </c>
      <c r="J12" s="28" t="s">
        <v>12</v>
      </c>
      <c r="K12" s="28" t="s">
        <v>11</v>
      </c>
      <c r="L12" s="28" t="s">
        <v>33</v>
      </c>
      <c r="M12" s="28" t="s">
        <v>32</v>
      </c>
    </row>
    <row r="13" spans="1:13" ht="14.25">
      <c r="A13" s="71" t="s">
        <v>9</v>
      </c>
      <c r="B13" s="72" t="s">
        <v>8</v>
      </c>
      <c r="C13" s="72" t="s">
        <v>6</v>
      </c>
      <c r="D13" s="73">
        <v>26</v>
      </c>
      <c r="E13" s="73">
        <v>24</v>
      </c>
      <c r="F13" s="73">
        <v>0</v>
      </c>
      <c r="G13" s="74">
        <v>327691.43</v>
      </c>
      <c r="H13" s="74">
        <v>41016.699999999997</v>
      </c>
      <c r="I13" s="74">
        <v>0</v>
      </c>
      <c r="J13" s="74">
        <v>-126098.17</v>
      </c>
      <c r="K13" s="74">
        <v>0</v>
      </c>
      <c r="L13" s="74">
        <v>21424.76</v>
      </c>
      <c r="M13" s="83">
        <v>264034.72000000003</v>
      </c>
    </row>
    <row r="14" spans="1:13" ht="14.25">
      <c r="A14" s="84"/>
      <c r="B14" s="85"/>
      <c r="C14" s="77" t="s">
        <v>5</v>
      </c>
      <c r="D14" s="78">
        <v>22</v>
      </c>
      <c r="E14" s="78">
        <v>17</v>
      </c>
      <c r="F14" s="78">
        <v>0</v>
      </c>
      <c r="G14" s="79">
        <v>205214.39</v>
      </c>
      <c r="H14" s="79">
        <v>29592.989999999998</v>
      </c>
      <c r="I14" s="79">
        <v>0</v>
      </c>
      <c r="J14" s="79">
        <v>-112948</v>
      </c>
      <c r="K14" s="79">
        <v>0</v>
      </c>
      <c r="L14" s="79">
        <v>58130.91</v>
      </c>
      <c r="M14" s="86">
        <v>179990.28999999998</v>
      </c>
    </row>
    <row r="15" spans="1:13" ht="14.25">
      <c r="A15" s="84"/>
      <c r="B15" s="85"/>
      <c r="C15" s="77" t="s">
        <v>31</v>
      </c>
      <c r="D15" s="78">
        <v>24</v>
      </c>
      <c r="E15" s="78">
        <v>22</v>
      </c>
      <c r="F15" s="78">
        <v>1</v>
      </c>
      <c r="G15" s="79">
        <v>175285.74</v>
      </c>
      <c r="H15" s="79">
        <v>40977.840000000004</v>
      </c>
      <c r="I15" s="79">
        <v>0</v>
      </c>
      <c r="J15" s="79">
        <v>-129032.4</v>
      </c>
      <c r="K15" s="79">
        <v>0</v>
      </c>
      <c r="L15" s="79">
        <v>182465.64</v>
      </c>
      <c r="M15" s="86">
        <v>269696.82</v>
      </c>
    </row>
    <row r="16" spans="1:13" ht="14.25">
      <c r="A16" s="84"/>
      <c r="B16" s="85"/>
      <c r="C16" s="77" t="s">
        <v>4</v>
      </c>
      <c r="D16" s="78">
        <v>21</v>
      </c>
      <c r="E16" s="78">
        <v>20</v>
      </c>
      <c r="F16" s="78">
        <v>0</v>
      </c>
      <c r="G16" s="79">
        <v>271642.5</v>
      </c>
      <c r="H16" s="79">
        <v>54505.49</v>
      </c>
      <c r="I16" s="79">
        <v>0</v>
      </c>
      <c r="J16" s="79">
        <v>-157233</v>
      </c>
      <c r="K16" s="79">
        <v>0</v>
      </c>
      <c r="L16" s="79">
        <v>32837.25</v>
      </c>
      <c r="M16" s="86">
        <v>201752.24</v>
      </c>
    </row>
    <row r="17" spans="1:13" ht="14.25">
      <c r="A17" s="84"/>
      <c r="B17" s="85"/>
      <c r="C17" s="77" t="s">
        <v>451</v>
      </c>
      <c r="D17" s="78">
        <v>25</v>
      </c>
      <c r="E17" s="78">
        <v>24</v>
      </c>
      <c r="F17" s="78">
        <v>1</v>
      </c>
      <c r="G17" s="79">
        <v>318945.07</v>
      </c>
      <c r="H17" s="79">
        <v>55434.43</v>
      </c>
      <c r="I17" s="79">
        <v>0</v>
      </c>
      <c r="J17" s="79">
        <v>-301337.11</v>
      </c>
      <c r="K17" s="79">
        <v>57078.93</v>
      </c>
      <c r="L17" s="79">
        <v>290352.84999999998</v>
      </c>
      <c r="M17" s="86">
        <v>306316.31</v>
      </c>
    </row>
    <row r="18" spans="1:13" ht="14.25">
      <c r="A18" s="84"/>
      <c r="B18" s="85"/>
      <c r="C18" s="77" t="s">
        <v>459</v>
      </c>
      <c r="D18" s="78">
        <v>28</v>
      </c>
      <c r="E18" s="78">
        <v>28</v>
      </c>
      <c r="F18" s="78">
        <v>0</v>
      </c>
      <c r="G18" s="79">
        <v>112055.3</v>
      </c>
      <c r="H18" s="79">
        <v>22885.280000000002</v>
      </c>
      <c r="I18" s="79">
        <v>0</v>
      </c>
      <c r="J18" s="79">
        <v>-129078</v>
      </c>
      <c r="K18" s="79">
        <v>0</v>
      </c>
      <c r="L18" s="79">
        <v>130414.51000000001</v>
      </c>
      <c r="M18" s="86">
        <v>136277.09</v>
      </c>
    </row>
    <row r="19" spans="1:13" ht="14.25">
      <c r="A19" s="84"/>
      <c r="B19" s="85"/>
      <c r="C19" s="77" t="s">
        <v>493</v>
      </c>
      <c r="D19" s="78">
        <v>20</v>
      </c>
      <c r="E19" s="78">
        <v>19</v>
      </c>
      <c r="F19" s="78">
        <v>1</v>
      </c>
      <c r="G19" s="79">
        <v>59899.159999999996</v>
      </c>
      <c r="H19" s="79">
        <v>26386.329999999998</v>
      </c>
      <c r="I19" s="79">
        <v>0</v>
      </c>
      <c r="J19" s="79">
        <v>-141019</v>
      </c>
      <c r="K19" s="79">
        <v>0</v>
      </c>
      <c r="L19" s="79">
        <v>257028.7</v>
      </c>
      <c r="M19" s="86">
        <v>202295.19</v>
      </c>
    </row>
    <row r="20" spans="1:13" ht="14.25">
      <c r="A20" s="84"/>
      <c r="B20" s="17" t="s">
        <v>2</v>
      </c>
      <c r="C20" s="15"/>
      <c r="D20" s="14">
        <v>166</v>
      </c>
      <c r="E20" s="14">
        <v>154</v>
      </c>
      <c r="F20" s="14">
        <v>3</v>
      </c>
      <c r="G20" s="13">
        <v>1470733.59</v>
      </c>
      <c r="H20" s="13">
        <v>270799.06</v>
      </c>
      <c r="I20" s="13">
        <v>0</v>
      </c>
      <c r="J20" s="13">
        <v>-1096745.68</v>
      </c>
      <c r="K20" s="13">
        <v>57078.93</v>
      </c>
      <c r="L20" s="13">
        <v>972654.61999999988</v>
      </c>
      <c r="M20" s="27">
        <v>1560362.6600000001</v>
      </c>
    </row>
    <row r="21" spans="1:13">
      <c r="A21" s="7" t="s">
        <v>1</v>
      </c>
      <c r="B21" s="11"/>
      <c r="C21" s="10"/>
      <c r="D21" s="4">
        <v>166</v>
      </c>
      <c r="E21" s="4">
        <v>154</v>
      </c>
      <c r="F21" s="4">
        <v>3</v>
      </c>
      <c r="G21" s="3">
        <v>1470733.59</v>
      </c>
      <c r="H21" s="3">
        <v>270799.06</v>
      </c>
      <c r="I21" s="3">
        <v>0</v>
      </c>
      <c r="J21" s="3">
        <v>-1096745.68</v>
      </c>
      <c r="K21" s="3">
        <v>57078.93</v>
      </c>
      <c r="L21" s="3">
        <v>972654.61999999988</v>
      </c>
      <c r="M21" s="26">
        <v>1560362.6600000001</v>
      </c>
    </row>
    <row r="22" spans="1:13" s="1" customFormat="1" ht="14.25">
      <c r="A22" s="81"/>
      <c r="B22" s="81"/>
      <c r="C22" s="81"/>
      <c r="D22" s="78"/>
      <c r="E22" s="78"/>
      <c r="F22" s="78"/>
      <c r="G22" s="79"/>
      <c r="H22" s="79"/>
      <c r="I22" s="79"/>
      <c r="J22" s="79"/>
      <c r="K22" s="79"/>
      <c r="L22" s="79"/>
      <c r="M22" s="79"/>
    </row>
    <row r="23" spans="1:13" s="1" customFormat="1" ht="14.25">
      <c r="A23" s="81"/>
      <c r="B23" s="81"/>
      <c r="C23" s="81"/>
      <c r="D23" s="78"/>
      <c r="E23" s="78"/>
      <c r="F23" s="78"/>
      <c r="G23" s="79"/>
      <c r="H23" s="79"/>
      <c r="I23" s="79"/>
      <c r="J23" s="79"/>
      <c r="K23" s="79"/>
      <c r="L23" s="79"/>
      <c r="M23" s="79"/>
    </row>
    <row r="24" spans="1:13" s="1" customFormat="1" ht="14.25">
      <c r="A24" s="81"/>
      <c r="B24" s="81"/>
      <c r="C24" s="81"/>
      <c r="D24" s="78"/>
      <c r="E24" s="78"/>
      <c r="F24" s="78"/>
      <c r="G24" s="79"/>
      <c r="H24" s="79"/>
      <c r="I24" s="79"/>
      <c r="J24" s="79"/>
      <c r="K24" s="79"/>
      <c r="L24" s="79"/>
      <c r="M24" s="79"/>
    </row>
    <row r="25" spans="1:13" s="1" customFormat="1" ht="14.25">
      <c r="A25" s="81"/>
      <c r="B25" s="81"/>
      <c r="C25" s="81"/>
      <c r="D25" s="78"/>
      <c r="E25" s="78"/>
      <c r="F25" s="78"/>
      <c r="G25" s="79"/>
      <c r="H25" s="79"/>
      <c r="I25" s="79"/>
      <c r="J25" s="79"/>
      <c r="K25" s="79"/>
      <c r="L25" s="79"/>
      <c r="M25" s="79"/>
    </row>
    <row r="26" spans="1:13" s="1" customFormat="1">
      <c r="A26" s="7" t="s">
        <v>0</v>
      </c>
      <c r="B26" s="6" t="s">
        <v>494</v>
      </c>
      <c r="C26" s="5"/>
      <c r="D26" s="4">
        <v>166</v>
      </c>
      <c r="E26" s="4">
        <v>154</v>
      </c>
      <c r="F26" s="4">
        <v>3</v>
      </c>
      <c r="G26" s="3">
        <v>1470733.59</v>
      </c>
      <c r="H26" s="3">
        <v>270799.06</v>
      </c>
      <c r="I26" s="3">
        <v>0</v>
      </c>
      <c r="J26" s="3">
        <v>-1096745.68</v>
      </c>
      <c r="K26" s="3">
        <v>57078.93</v>
      </c>
      <c r="L26" s="3">
        <v>972654.61999999988</v>
      </c>
      <c r="M26" s="3">
        <v>1560362.6600000001</v>
      </c>
    </row>
    <row r="29" spans="1:13" ht="26.25">
      <c r="A29" s="143" t="s">
        <v>44</v>
      </c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5"/>
      <c r="M29" s="96"/>
    </row>
    <row r="30" spans="1:13">
      <c r="A30" s="146" t="s">
        <v>28</v>
      </c>
      <c r="B30" s="146" t="s">
        <v>27</v>
      </c>
      <c r="C30" s="146" t="s">
        <v>43</v>
      </c>
      <c r="D30" s="148" t="s">
        <v>42</v>
      </c>
      <c r="E30" s="148" t="s">
        <v>41</v>
      </c>
      <c r="F30" s="148" t="s">
        <v>40</v>
      </c>
      <c r="G30" s="151" t="s">
        <v>39</v>
      </c>
      <c r="H30" s="141" t="s">
        <v>38</v>
      </c>
      <c r="I30" s="141" t="s">
        <v>37</v>
      </c>
      <c r="J30" s="141" t="s">
        <v>36</v>
      </c>
      <c r="K30" s="141" t="s">
        <v>35</v>
      </c>
      <c r="L30" s="141" t="s">
        <v>34</v>
      </c>
      <c r="M30" s="141" t="s">
        <v>21</v>
      </c>
    </row>
    <row r="31" spans="1:13">
      <c r="A31" s="147"/>
      <c r="B31" s="147"/>
      <c r="C31" s="147"/>
      <c r="D31" s="149"/>
      <c r="E31" s="149"/>
      <c r="F31" s="149"/>
      <c r="G31" s="152"/>
      <c r="H31" s="142"/>
      <c r="I31" s="142"/>
      <c r="J31" s="142"/>
      <c r="K31" s="142"/>
      <c r="L31" s="142"/>
      <c r="M31" s="142"/>
    </row>
    <row r="32" spans="1:13" ht="21">
      <c r="A32" s="147"/>
      <c r="B32" s="147"/>
      <c r="C32" s="147"/>
      <c r="D32" s="150"/>
      <c r="E32" s="150"/>
      <c r="F32" s="150"/>
      <c r="G32" s="18" t="s">
        <v>15</v>
      </c>
      <c r="H32" s="28" t="s">
        <v>14</v>
      </c>
      <c r="I32" s="28" t="s">
        <v>13</v>
      </c>
      <c r="J32" s="28" t="s">
        <v>12</v>
      </c>
      <c r="K32" s="28" t="s">
        <v>11</v>
      </c>
      <c r="L32" s="28" t="s">
        <v>33</v>
      </c>
      <c r="M32" s="28" t="s">
        <v>32</v>
      </c>
    </row>
    <row r="33" spans="1:13">
      <c r="A33" s="100" t="s">
        <v>922</v>
      </c>
      <c r="B33" s="101" t="s">
        <v>2015</v>
      </c>
      <c r="C33" s="101" t="s">
        <v>2016</v>
      </c>
      <c r="D33" s="102">
        <v>22</v>
      </c>
      <c r="E33" s="102">
        <v>18</v>
      </c>
      <c r="F33" s="102">
        <v>0</v>
      </c>
      <c r="G33" s="103">
        <v>254249.07</v>
      </c>
      <c r="H33" s="103">
        <v>32325.56</v>
      </c>
      <c r="I33" s="103">
        <v>0</v>
      </c>
      <c r="J33" s="103">
        <v>-134448.89000000001</v>
      </c>
      <c r="K33" s="103">
        <v>0</v>
      </c>
      <c r="L33" s="103">
        <v>8303.5</v>
      </c>
      <c r="M33" s="104">
        <v>160429.24</v>
      </c>
    </row>
    <row r="34" spans="1:13">
      <c r="A34" s="105"/>
      <c r="B34" s="106"/>
      <c r="C34" s="107" t="s">
        <v>2017</v>
      </c>
      <c r="D34" s="108">
        <v>19</v>
      </c>
      <c r="E34" s="108">
        <v>18</v>
      </c>
      <c r="F34" s="108">
        <v>1</v>
      </c>
      <c r="G34" s="8">
        <v>318387.02</v>
      </c>
      <c r="H34" s="8">
        <v>85566.86</v>
      </c>
      <c r="I34" s="8">
        <v>-45689.66</v>
      </c>
      <c r="J34" s="8">
        <v>-19162.900000000001</v>
      </c>
      <c r="K34" s="8">
        <v>0</v>
      </c>
      <c r="L34" s="8">
        <v>58678.76</v>
      </c>
      <c r="M34" s="109">
        <v>397780.08</v>
      </c>
    </row>
    <row r="35" spans="1:13">
      <c r="A35" s="105"/>
      <c r="B35" s="106"/>
      <c r="C35" s="107" t="s">
        <v>2018</v>
      </c>
      <c r="D35" s="108">
        <v>24</v>
      </c>
      <c r="E35" s="108">
        <v>20</v>
      </c>
      <c r="F35" s="108">
        <v>2</v>
      </c>
      <c r="G35" s="8">
        <v>1314737.21</v>
      </c>
      <c r="H35" s="8">
        <v>249903.72</v>
      </c>
      <c r="I35" s="8">
        <v>-47413.79</v>
      </c>
      <c r="J35" s="8">
        <v>-158420.53</v>
      </c>
      <c r="K35" s="8">
        <v>1</v>
      </c>
      <c r="L35" s="8">
        <v>54990.62</v>
      </c>
      <c r="M35" s="109">
        <v>1413796.23</v>
      </c>
    </row>
    <row r="36" spans="1:13">
      <c r="A36" s="105"/>
      <c r="B36" s="106"/>
      <c r="C36" s="107" t="s">
        <v>2019</v>
      </c>
      <c r="D36" s="108">
        <v>19</v>
      </c>
      <c r="E36" s="108">
        <v>15</v>
      </c>
      <c r="F36" s="108">
        <v>2</v>
      </c>
      <c r="G36" s="8">
        <v>274054.93</v>
      </c>
      <c r="H36" s="8">
        <v>63225.49</v>
      </c>
      <c r="I36" s="8">
        <v>0</v>
      </c>
      <c r="J36" s="8">
        <v>-76525.59</v>
      </c>
      <c r="K36" s="8">
        <v>0</v>
      </c>
      <c r="L36" s="8">
        <v>103359.51</v>
      </c>
      <c r="M36" s="109">
        <v>364114.33999999997</v>
      </c>
    </row>
    <row r="37" spans="1:13">
      <c r="A37" s="105"/>
      <c r="B37" s="106"/>
      <c r="C37" s="107" t="s">
        <v>2020</v>
      </c>
      <c r="D37" s="108">
        <v>21</v>
      </c>
      <c r="E37" s="108">
        <v>21</v>
      </c>
      <c r="F37" s="108">
        <v>0</v>
      </c>
      <c r="G37" s="8">
        <v>276923.45999999996</v>
      </c>
      <c r="H37" s="8">
        <v>47529.729999999996</v>
      </c>
      <c r="I37" s="8">
        <v>0</v>
      </c>
      <c r="J37" s="8">
        <v>-128913.81</v>
      </c>
      <c r="K37" s="8">
        <v>0</v>
      </c>
      <c r="L37" s="8">
        <v>31834.66</v>
      </c>
      <c r="M37" s="109">
        <v>227374.04</v>
      </c>
    </row>
    <row r="38" spans="1:13">
      <c r="A38" s="105"/>
      <c r="B38" s="106"/>
      <c r="C38" s="107" t="s">
        <v>2021</v>
      </c>
      <c r="D38" s="108">
        <v>26</v>
      </c>
      <c r="E38" s="108">
        <v>25</v>
      </c>
      <c r="F38" s="108">
        <v>0</v>
      </c>
      <c r="G38" s="8">
        <v>230000.42</v>
      </c>
      <c r="H38" s="8">
        <v>16128.030000000002</v>
      </c>
      <c r="I38" s="8">
        <v>0</v>
      </c>
      <c r="J38" s="8">
        <v>-203173.31</v>
      </c>
      <c r="K38" s="8">
        <v>0</v>
      </c>
      <c r="L38" s="8">
        <v>48493.05</v>
      </c>
      <c r="M38" s="109">
        <v>91448.189999999988</v>
      </c>
    </row>
    <row r="39" spans="1:13">
      <c r="A39" s="105"/>
      <c r="B39" s="106"/>
      <c r="C39" s="107" t="s">
        <v>2022</v>
      </c>
      <c r="D39" s="108">
        <v>17</v>
      </c>
      <c r="E39" s="108">
        <v>16</v>
      </c>
      <c r="F39" s="108">
        <v>0</v>
      </c>
      <c r="G39" s="8">
        <v>269190.13</v>
      </c>
      <c r="H39" s="8">
        <v>51083.16</v>
      </c>
      <c r="I39" s="8">
        <v>0</v>
      </c>
      <c r="J39" s="8">
        <v>-102310.25</v>
      </c>
      <c r="K39" s="8">
        <v>0</v>
      </c>
      <c r="L39" s="8">
        <v>98810.23</v>
      </c>
      <c r="M39" s="109">
        <v>316773.27</v>
      </c>
    </row>
    <row r="40" spans="1:13">
      <c r="A40" s="105"/>
      <c r="B40" s="106"/>
      <c r="C40" s="107" t="s">
        <v>2023</v>
      </c>
      <c r="D40" s="108">
        <v>24</v>
      </c>
      <c r="E40" s="108">
        <v>19</v>
      </c>
      <c r="F40" s="108">
        <v>1</v>
      </c>
      <c r="G40" s="8">
        <v>288684.86</v>
      </c>
      <c r="H40" s="8">
        <v>60184.32</v>
      </c>
      <c r="I40" s="8">
        <v>0</v>
      </c>
      <c r="J40" s="8">
        <v>-155130.35999999999</v>
      </c>
      <c r="K40" s="8">
        <v>1</v>
      </c>
      <c r="L40" s="8">
        <v>10228.76</v>
      </c>
      <c r="M40" s="109">
        <v>203966.58</v>
      </c>
    </row>
    <row r="41" spans="1:13">
      <c r="A41" s="105"/>
      <c r="B41" s="106"/>
      <c r="C41" s="107" t="s">
        <v>2024</v>
      </c>
      <c r="D41" s="108">
        <v>20</v>
      </c>
      <c r="E41" s="108">
        <v>14</v>
      </c>
      <c r="F41" s="108">
        <v>0</v>
      </c>
      <c r="G41" s="8">
        <v>57425.32</v>
      </c>
      <c r="H41" s="8">
        <v>7943.9499999999989</v>
      </c>
      <c r="I41" s="8">
        <v>0</v>
      </c>
      <c r="J41" s="8">
        <v>-144522</v>
      </c>
      <c r="K41" s="8">
        <v>0</v>
      </c>
      <c r="L41" s="8">
        <v>111382.99</v>
      </c>
      <c r="M41" s="109">
        <v>32230.260000000002</v>
      </c>
    </row>
    <row r="42" spans="1:13">
      <c r="A42" s="105"/>
      <c r="B42" s="106"/>
      <c r="C42" s="107" t="s">
        <v>2025</v>
      </c>
      <c r="D42" s="108">
        <v>33</v>
      </c>
      <c r="E42" s="108">
        <v>33</v>
      </c>
      <c r="F42" s="108">
        <v>0</v>
      </c>
      <c r="G42" s="8">
        <v>301508.3</v>
      </c>
      <c r="H42" s="8">
        <v>64439.57</v>
      </c>
      <c r="I42" s="8">
        <v>0</v>
      </c>
      <c r="J42" s="8">
        <v>-117696.4</v>
      </c>
      <c r="K42" s="8">
        <v>0</v>
      </c>
      <c r="L42" s="8">
        <v>189470.91</v>
      </c>
      <c r="M42" s="109">
        <v>437722.38</v>
      </c>
    </row>
    <row r="43" spans="1:13">
      <c r="A43" s="105"/>
      <c r="B43" s="106"/>
      <c r="C43" s="107" t="s">
        <v>2026</v>
      </c>
      <c r="D43" s="108">
        <v>28</v>
      </c>
      <c r="E43" s="108">
        <v>28</v>
      </c>
      <c r="F43" s="108">
        <v>0</v>
      </c>
      <c r="G43" s="8">
        <v>171456.03</v>
      </c>
      <c r="H43" s="8">
        <v>30805.01</v>
      </c>
      <c r="I43" s="8">
        <v>0</v>
      </c>
      <c r="J43" s="8">
        <v>-157752.31</v>
      </c>
      <c r="K43" s="8">
        <v>0</v>
      </c>
      <c r="L43" s="8">
        <v>165565.56</v>
      </c>
      <c r="M43" s="109">
        <v>210074.28999999998</v>
      </c>
    </row>
    <row r="44" spans="1:13">
      <c r="A44" s="105"/>
      <c r="B44" s="106"/>
      <c r="C44" s="107" t="s">
        <v>7</v>
      </c>
      <c r="D44" s="108">
        <v>19</v>
      </c>
      <c r="E44" s="108">
        <v>18</v>
      </c>
      <c r="F44" s="108">
        <v>1</v>
      </c>
      <c r="G44" s="8">
        <v>124541.55</v>
      </c>
      <c r="H44" s="8">
        <v>65661.320000000007</v>
      </c>
      <c r="I44" s="8">
        <v>0</v>
      </c>
      <c r="J44" s="8">
        <v>-79573.25</v>
      </c>
      <c r="K44" s="8">
        <v>62582.89</v>
      </c>
      <c r="L44" s="8">
        <v>412668.74</v>
      </c>
      <c r="M44" s="109">
        <v>460715.47000000003</v>
      </c>
    </row>
    <row r="45" spans="1:13">
      <c r="A45" s="105"/>
      <c r="B45" s="17" t="s">
        <v>2027</v>
      </c>
      <c r="C45" s="15"/>
      <c r="D45" s="14">
        <v>272</v>
      </c>
      <c r="E45" s="14">
        <v>245</v>
      </c>
      <c r="F45" s="14">
        <v>7</v>
      </c>
      <c r="G45" s="13">
        <v>3881158.2999999989</v>
      </c>
      <c r="H45" s="13">
        <v>774796.72</v>
      </c>
      <c r="I45" s="13">
        <v>-93103.450000000012</v>
      </c>
      <c r="J45" s="13">
        <v>-1477629.6</v>
      </c>
      <c r="K45" s="13">
        <v>62584.89</v>
      </c>
      <c r="L45" s="13">
        <v>1293787.29</v>
      </c>
      <c r="M45" s="27">
        <v>4316424.37</v>
      </c>
    </row>
    <row r="46" spans="1:13">
      <c r="A46" s="7" t="s">
        <v>2028</v>
      </c>
      <c r="B46" s="11"/>
      <c r="C46" s="10"/>
      <c r="D46" s="4">
        <v>272</v>
      </c>
      <c r="E46" s="4">
        <v>245</v>
      </c>
      <c r="F46" s="4">
        <v>7</v>
      </c>
      <c r="G46" s="3">
        <v>3881158.2999999989</v>
      </c>
      <c r="H46" s="3">
        <v>774796.72</v>
      </c>
      <c r="I46" s="3">
        <v>-93103.450000000012</v>
      </c>
      <c r="J46" s="3">
        <v>-1477629.6</v>
      </c>
      <c r="K46" s="3">
        <v>62584.89</v>
      </c>
      <c r="L46" s="3">
        <v>1293787.29</v>
      </c>
      <c r="M46" s="26">
        <v>4316424.37</v>
      </c>
    </row>
    <row r="47" spans="1:13">
      <c r="A47" s="110"/>
      <c r="B47" s="110"/>
      <c r="C47" s="110"/>
      <c r="D47" s="108"/>
      <c r="E47" s="108"/>
      <c r="F47" s="108"/>
      <c r="G47" s="8"/>
      <c r="H47" s="8"/>
      <c r="I47" s="8"/>
      <c r="J47" s="8"/>
      <c r="K47" s="8"/>
      <c r="L47" s="8"/>
      <c r="M47" s="8"/>
    </row>
    <row r="48" spans="1:13">
      <c r="A48" s="110"/>
      <c r="B48" s="110"/>
      <c r="C48" s="110"/>
      <c r="D48" s="108"/>
      <c r="E48" s="108"/>
      <c r="F48" s="108"/>
      <c r="G48" s="8"/>
      <c r="H48" s="8"/>
      <c r="I48" s="8"/>
      <c r="J48" s="8"/>
      <c r="K48" s="8"/>
      <c r="L48" s="8"/>
      <c r="M48" s="8"/>
    </row>
    <row r="49" spans="1:13">
      <c r="A49" s="110"/>
      <c r="B49" s="110"/>
      <c r="C49" s="110"/>
      <c r="D49" s="108"/>
      <c r="E49" s="108"/>
      <c r="F49" s="108"/>
      <c r="G49" s="8"/>
      <c r="H49" s="8"/>
      <c r="I49" s="8"/>
      <c r="J49" s="8"/>
      <c r="K49" s="8"/>
      <c r="L49" s="8"/>
      <c r="M49" s="8"/>
    </row>
    <row r="50" spans="1:13">
      <c r="A50" s="110"/>
      <c r="B50" s="110"/>
      <c r="C50" s="110"/>
      <c r="D50" s="108"/>
      <c r="E50" s="108"/>
      <c r="F50" s="108"/>
      <c r="G50" s="8"/>
      <c r="H50" s="8"/>
      <c r="I50" s="8"/>
      <c r="J50" s="8"/>
      <c r="K50" s="8"/>
      <c r="L50" s="8"/>
      <c r="M50" s="8"/>
    </row>
    <row r="51" spans="1:13">
      <c r="A51" s="7" t="s">
        <v>0</v>
      </c>
      <c r="B51" s="6" t="s">
        <v>2029</v>
      </c>
      <c r="C51" s="5"/>
      <c r="D51" s="4">
        <v>272</v>
      </c>
      <c r="E51" s="4">
        <v>245</v>
      </c>
      <c r="F51" s="4">
        <v>7</v>
      </c>
      <c r="G51" s="3">
        <v>3881158.2999999989</v>
      </c>
      <c r="H51" s="3">
        <v>774796.72</v>
      </c>
      <c r="I51" s="3">
        <v>-93103.450000000012</v>
      </c>
      <c r="J51" s="3">
        <v>-1477629.6</v>
      </c>
      <c r="K51" s="3">
        <v>62584.89</v>
      </c>
      <c r="L51" s="3">
        <v>1293787.29</v>
      </c>
      <c r="M51" s="3">
        <v>4316424.37</v>
      </c>
    </row>
  </sheetData>
  <mergeCells count="28">
    <mergeCell ref="M30:M31"/>
    <mergeCell ref="J10:J11"/>
    <mergeCell ref="K10:K11"/>
    <mergeCell ref="L10:L11"/>
    <mergeCell ref="M10:M11"/>
    <mergeCell ref="A29:L29"/>
    <mergeCell ref="A30:A32"/>
    <mergeCell ref="B30:B32"/>
    <mergeCell ref="C30:C32"/>
    <mergeCell ref="D30:D32"/>
    <mergeCell ref="E30:E32"/>
    <mergeCell ref="F30:F32"/>
    <mergeCell ref="G30:G31"/>
    <mergeCell ref="H30:H31"/>
    <mergeCell ref="I30:I31"/>
    <mergeCell ref="J30:J31"/>
    <mergeCell ref="A9:L9"/>
    <mergeCell ref="A10:A12"/>
    <mergeCell ref="B10:B12"/>
    <mergeCell ref="C10:C12"/>
    <mergeCell ref="D10:D12"/>
    <mergeCell ref="E10:E12"/>
    <mergeCell ref="F10:F12"/>
    <mergeCell ref="G10:G11"/>
    <mergeCell ref="H10:H11"/>
    <mergeCell ref="I10:I11"/>
    <mergeCell ref="K30:K31"/>
    <mergeCell ref="L30:L3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3"/>
  <sheetViews>
    <sheetView showGridLines="0" topLeftCell="A10" zoomScale="110" zoomScaleNormal="110" workbookViewId="0">
      <selection activeCell="N28" sqref="N28"/>
    </sheetView>
  </sheetViews>
  <sheetFormatPr baseColWidth="10" defaultRowHeight="12.75"/>
  <cols>
    <col min="1" max="1" width="18.42578125" customWidth="1"/>
    <col min="2" max="7" width="11.85546875" customWidth="1"/>
    <col min="8" max="8" width="14.28515625" style="39" customWidth="1"/>
    <col min="9" max="9" width="14.85546875" style="39" customWidth="1"/>
    <col min="10" max="10" width="6.7109375" customWidth="1"/>
    <col min="11" max="11" width="6.28515625" customWidth="1"/>
    <col min="12" max="12" width="6.85546875" customWidth="1"/>
    <col min="13" max="13" width="6.28515625" customWidth="1"/>
    <col min="14" max="14" width="13.140625" customWidth="1"/>
    <col min="15" max="15" width="6.42578125" customWidth="1"/>
    <col min="16" max="16" width="7.140625" customWidth="1"/>
    <col min="17" max="17" width="6.5703125" customWidth="1"/>
    <col min="18" max="18" width="7.42578125" customWidth="1"/>
    <col min="19" max="19" width="6.42578125" customWidth="1"/>
    <col min="20" max="20" width="5.85546875" customWidth="1"/>
    <col min="21" max="21" width="13.140625" customWidth="1"/>
    <col min="22" max="25" width="9" customWidth="1"/>
    <col min="26" max="26" width="8" customWidth="1"/>
    <col min="27" max="27" width="9" customWidth="1"/>
    <col min="28" max="28" width="8" customWidth="1"/>
    <col min="29" max="29" width="9.5703125" customWidth="1"/>
    <col min="30" max="30" width="6.42578125" customWidth="1"/>
    <col min="31" max="31" width="9.5703125" customWidth="1"/>
    <col min="32" max="34" width="7.140625" customWidth="1"/>
    <col min="35" max="35" width="9.5703125" customWidth="1"/>
    <col min="36" max="36" width="8.5703125" customWidth="1"/>
    <col min="37" max="37" width="8" customWidth="1"/>
    <col min="38" max="41" width="7.140625" customWidth="1"/>
    <col min="42" max="42" width="9.5703125" customWidth="1"/>
    <col min="43" max="43" width="8" customWidth="1"/>
    <col min="44" max="45" width="9" customWidth="1"/>
    <col min="46" max="46" width="10" customWidth="1"/>
    <col min="47" max="48" width="9" customWidth="1"/>
    <col min="49" max="49" width="8.5703125" customWidth="1"/>
    <col min="50" max="52" width="9" customWidth="1"/>
    <col min="53" max="53" width="9.5703125" customWidth="1"/>
    <col min="54" max="54" width="8" customWidth="1"/>
    <col min="55" max="55" width="6.5703125" customWidth="1"/>
    <col min="56" max="56" width="9" customWidth="1"/>
    <col min="57" max="57" width="8" customWidth="1"/>
    <col min="58" max="58" width="9" customWidth="1"/>
    <col min="59" max="59" width="10" customWidth="1"/>
    <col min="60" max="61" width="7.42578125" customWidth="1"/>
    <col min="62" max="63" width="9" customWidth="1"/>
    <col min="64" max="65" width="8" customWidth="1"/>
    <col min="66" max="66" width="7.42578125" customWidth="1"/>
    <col min="67" max="67" width="9.5703125" customWidth="1"/>
    <col min="68" max="69" width="8" customWidth="1"/>
    <col min="70" max="70" width="9" customWidth="1"/>
    <col min="71" max="71" width="9.5703125" customWidth="1"/>
    <col min="72" max="72" width="7.42578125" customWidth="1"/>
    <col min="73" max="73" width="8" customWidth="1"/>
    <col min="74" max="74" width="9" customWidth="1"/>
    <col min="75" max="75" width="7.5703125" customWidth="1"/>
    <col min="76" max="76" width="9" customWidth="1"/>
    <col min="77" max="77" width="6.42578125" customWidth="1"/>
    <col min="78" max="79" width="9" customWidth="1"/>
    <col min="80" max="80" width="6.42578125" customWidth="1"/>
    <col min="81" max="81" width="8" customWidth="1"/>
    <col min="82" max="82" width="9" customWidth="1"/>
    <col min="83" max="83" width="8" customWidth="1"/>
    <col min="84" max="85" width="9" customWidth="1"/>
    <col min="86" max="86" width="8.5703125" customWidth="1"/>
    <col min="87" max="87" width="8" customWidth="1"/>
    <col min="88" max="88" width="9" customWidth="1"/>
    <col min="89" max="90" width="9.5703125" customWidth="1"/>
    <col min="91" max="91" width="8" customWidth="1"/>
    <col min="92" max="92" width="6.42578125" customWidth="1"/>
    <col min="93" max="93" width="7.5703125" customWidth="1"/>
    <col min="94" max="94" width="9" customWidth="1"/>
    <col min="95" max="95" width="8.5703125" customWidth="1"/>
    <col min="96" max="96" width="8" customWidth="1"/>
    <col min="97" max="97" width="7" customWidth="1"/>
    <col min="98" max="99" width="8" customWidth="1"/>
    <col min="100" max="100" width="9" customWidth="1"/>
    <col min="101" max="101" width="5.85546875" customWidth="1"/>
    <col min="102" max="102" width="10" customWidth="1"/>
    <col min="103" max="104" width="7" customWidth="1"/>
    <col min="105" max="107" width="8.5703125" customWidth="1"/>
    <col min="108" max="108" width="9" customWidth="1"/>
    <col min="109" max="110" width="8" customWidth="1"/>
    <col min="111" max="115" width="9" customWidth="1"/>
    <col min="116" max="116" width="8" customWidth="1"/>
    <col min="117" max="117" width="9" customWidth="1"/>
    <col min="118" max="118" width="7" customWidth="1"/>
    <col min="119" max="119" width="8.5703125" customWidth="1"/>
    <col min="120" max="120" width="10" customWidth="1"/>
    <col min="121" max="121" width="7.5703125" customWidth="1"/>
    <col min="122" max="123" width="8.5703125" customWidth="1"/>
    <col min="124" max="126" width="9" customWidth="1"/>
    <col min="127" max="128" width="8" customWidth="1"/>
    <col min="129" max="129" width="9" customWidth="1"/>
    <col min="130" max="130" width="8" customWidth="1"/>
    <col min="131" max="131" width="9" customWidth="1"/>
    <col min="132" max="132" width="6.28515625" customWidth="1"/>
    <col min="133" max="133" width="9" customWidth="1"/>
    <col min="134" max="134" width="8" customWidth="1"/>
    <col min="135" max="135" width="9" customWidth="1"/>
    <col min="136" max="136" width="6.28515625" customWidth="1"/>
    <col min="137" max="137" width="9.5703125" customWidth="1"/>
    <col min="138" max="138" width="8" customWidth="1"/>
    <col min="139" max="139" width="9" customWidth="1"/>
    <col min="140" max="140" width="7" customWidth="1"/>
    <col min="141" max="142" width="9" customWidth="1"/>
    <col min="143" max="143" width="9.5703125" customWidth="1"/>
    <col min="144" max="144" width="8.5703125" customWidth="1"/>
    <col min="145" max="145" width="9.5703125" customWidth="1"/>
    <col min="146" max="147" width="10" customWidth="1"/>
    <col min="148" max="148" width="8" customWidth="1"/>
    <col min="149" max="150" width="9" customWidth="1"/>
    <col min="151" max="151" width="8" customWidth="1"/>
    <col min="152" max="152" width="9" customWidth="1"/>
    <col min="153" max="153" width="8.5703125" customWidth="1"/>
    <col min="154" max="154" width="9" customWidth="1"/>
    <col min="155" max="155" width="9.5703125" customWidth="1"/>
    <col min="156" max="156" width="9" customWidth="1"/>
    <col min="157" max="157" width="7" customWidth="1"/>
    <col min="158" max="159" width="9.5703125" customWidth="1"/>
    <col min="160" max="160" width="9" customWidth="1"/>
    <col min="161" max="162" width="8" customWidth="1"/>
    <col min="163" max="164" width="9" customWidth="1"/>
    <col min="165" max="166" width="8" customWidth="1"/>
    <col min="167" max="171" width="9" customWidth="1"/>
    <col min="172" max="172" width="8" customWidth="1"/>
    <col min="173" max="173" width="9" customWidth="1"/>
    <col min="174" max="174" width="6.28515625" customWidth="1"/>
    <col min="175" max="175" width="8" customWidth="1"/>
    <col min="176" max="177" width="6.28515625" customWidth="1"/>
    <col min="178" max="178" width="9.5703125" customWidth="1"/>
    <col min="179" max="185" width="10" customWidth="1"/>
    <col min="186" max="186" width="13.140625" bestFit="1" customWidth="1"/>
  </cols>
  <sheetData>
    <row r="1" spans="1:14" ht="15.75">
      <c r="A1" s="153" t="s">
        <v>2031</v>
      </c>
      <c r="B1" s="153"/>
      <c r="C1" s="153"/>
      <c r="D1" s="153"/>
      <c r="E1" s="153"/>
      <c r="F1" s="153"/>
      <c r="G1" s="153"/>
      <c r="H1" s="153"/>
      <c r="I1" s="153"/>
    </row>
    <row r="3" spans="1:14">
      <c r="B3" s="65">
        <v>43586</v>
      </c>
      <c r="C3" s="65">
        <v>43647</v>
      </c>
      <c r="D3" s="65" t="s">
        <v>0</v>
      </c>
      <c r="H3"/>
      <c r="I3"/>
    </row>
    <row r="4" spans="1:14">
      <c r="A4" t="s">
        <v>44</v>
      </c>
      <c r="B4" s="53">
        <v>1</v>
      </c>
      <c r="C4" s="53">
        <v>2</v>
      </c>
      <c r="D4" s="54">
        <v>3</v>
      </c>
      <c r="H4"/>
      <c r="I4"/>
    </row>
    <row r="5" spans="1:14" ht="3.75" customHeight="1"/>
    <row r="6" spans="1:14">
      <c r="B6" s="65">
        <v>43586</v>
      </c>
      <c r="C6" s="65">
        <v>43647</v>
      </c>
      <c r="D6" s="65" t="s">
        <v>0</v>
      </c>
      <c r="H6"/>
      <c r="I6"/>
      <c r="J6" s="53"/>
      <c r="K6" s="53"/>
      <c r="L6" s="53"/>
      <c r="M6" s="53"/>
      <c r="N6" s="53"/>
    </row>
    <row r="7" spans="1:14">
      <c r="A7" t="s">
        <v>2032</v>
      </c>
      <c r="B7" s="93">
        <v>-13228.45</v>
      </c>
      <c r="C7" s="93">
        <v>28514.25</v>
      </c>
      <c r="D7" s="127">
        <v>15285.8</v>
      </c>
      <c r="H7"/>
      <c r="I7"/>
    </row>
    <row r="9" spans="1:14">
      <c r="E9" s="65"/>
      <c r="F9" s="65"/>
      <c r="G9" s="65"/>
      <c r="H9" s="97"/>
      <c r="I9" s="97"/>
    </row>
    <row r="10" spans="1:14">
      <c r="E10" s="95"/>
      <c r="F10" s="95"/>
      <c r="G10" s="95"/>
      <c r="H10" s="68"/>
      <c r="I10" s="68"/>
    </row>
    <row r="12" spans="1:14">
      <c r="D12" s="65"/>
      <c r="E12" s="65"/>
      <c r="F12" s="65"/>
      <c r="G12" s="65"/>
      <c r="H12" s="97"/>
      <c r="I12" s="97"/>
    </row>
    <row r="13" spans="1:14">
      <c r="D13" s="53"/>
      <c r="E13" s="53"/>
      <c r="F13" s="53"/>
      <c r="G13" s="53"/>
      <c r="H13" s="54"/>
      <c r="I13" s="54"/>
    </row>
  </sheetData>
  <mergeCells count="1">
    <mergeCell ref="A1:I1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Quitar_Filtro_Resumen">
                <anchor moveWithCells="1" sizeWithCells="1">
                  <from>
                    <xdr:col>8</xdr:col>
                    <xdr:colOff>809625</xdr:colOff>
                    <xdr:row>22</xdr:row>
                    <xdr:rowOff>47625</xdr:rowOff>
                  </from>
                  <to>
                    <xdr:col>10</xdr:col>
                    <xdr:colOff>123825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2060"/>
  </sheetPr>
  <dimension ref="A11:J145"/>
  <sheetViews>
    <sheetView showGridLines="0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C28" sqref="C28"/>
    </sheetView>
  </sheetViews>
  <sheetFormatPr baseColWidth="10" defaultRowHeight="12.75"/>
  <cols>
    <col min="1" max="1" width="36.42578125" customWidth="1"/>
    <col min="2" max="2" width="23.5703125" style="39" customWidth="1"/>
    <col min="3" max="3" width="20.85546875" style="39" customWidth="1"/>
    <col min="4" max="4" width="11.140625" style="39" customWidth="1"/>
    <col min="5" max="5" width="13.140625" style="39" customWidth="1"/>
    <col min="6" max="8" width="11.140625" style="39" customWidth="1"/>
    <col min="9" max="9" width="11.85546875" customWidth="1"/>
    <col min="10" max="10" width="12.7109375" bestFit="1" customWidth="1"/>
    <col min="11" max="12" width="12.7109375" customWidth="1"/>
    <col min="13" max="13" width="12.28515625" bestFit="1" customWidth="1"/>
    <col min="15" max="15" width="12.28515625" bestFit="1" customWidth="1"/>
    <col min="17" max="17" width="12.28515625" bestFit="1" customWidth="1"/>
    <col min="19" max="19" width="13.85546875" bestFit="1" customWidth="1"/>
  </cols>
  <sheetData>
    <row r="11" spans="1:10">
      <c r="A11" s="52" t="s">
        <v>2033</v>
      </c>
      <c r="B11"/>
      <c r="C11"/>
      <c r="D11"/>
      <c r="E11"/>
      <c r="F11"/>
      <c r="G11"/>
      <c r="H11"/>
    </row>
    <row r="12" spans="1:10">
      <c r="B12"/>
      <c r="C12"/>
      <c r="D12" s="97">
        <v>43497</v>
      </c>
      <c r="E12" s="97">
        <v>43525</v>
      </c>
      <c r="F12" s="97">
        <v>43556</v>
      </c>
      <c r="G12" s="97">
        <v>43586</v>
      </c>
      <c r="H12" s="97">
        <v>43617</v>
      </c>
      <c r="I12" s="97">
        <v>43647</v>
      </c>
      <c r="J12" t="s">
        <v>0</v>
      </c>
    </row>
    <row r="13" spans="1:10">
      <c r="A13" s="128" t="s">
        <v>488</v>
      </c>
      <c r="B13" t="s">
        <v>519</v>
      </c>
      <c r="C13" t="s">
        <v>447</v>
      </c>
      <c r="D13" s="54"/>
      <c r="E13" s="54"/>
      <c r="F13" s="54"/>
      <c r="G13" s="54"/>
      <c r="H13" s="54">
        <v>1</v>
      </c>
      <c r="I13" s="54"/>
      <c r="J13" s="53">
        <v>1</v>
      </c>
    </row>
    <row r="14" spans="1:10">
      <c r="A14" s="128" t="s">
        <v>488</v>
      </c>
      <c r="B14" t="s">
        <v>237</v>
      </c>
      <c r="C14" t="s">
        <v>447</v>
      </c>
      <c r="D14" s="54"/>
      <c r="E14" s="54"/>
      <c r="F14" s="54"/>
      <c r="G14" s="54"/>
      <c r="H14" s="54"/>
      <c r="I14" s="54">
        <v>1</v>
      </c>
      <c r="J14" s="53">
        <v>1</v>
      </c>
    </row>
    <row r="15" spans="1:10">
      <c r="A15" s="128" t="s">
        <v>542</v>
      </c>
      <c r="B15" t="s">
        <v>449</v>
      </c>
      <c r="C15" t="s">
        <v>448</v>
      </c>
      <c r="D15" s="54"/>
      <c r="E15" s="54"/>
      <c r="F15" s="54">
        <v>1</v>
      </c>
      <c r="G15" s="54"/>
      <c r="H15" s="54">
        <v>1</v>
      </c>
      <c r="I15" s="54"/>
      <c r="J15" s="53">
        <v>2</v>
      </c>
    </row>
    <row r="16" spans="1:10">
      <c r="A16" s="128" t="s">
        <v>538</v>
      </c>
      <c r="B16" t="s">
        <v>445</v>
      </c>
      <c r="C16" t="s">
        <v>448</v>
      </c>
      <c r="D16" s="54"/>
      <c r="E16" s="54">
        <v>1</v>
      </c>
      <c r="F16" s="54"/>
      <c r="G16" s="54"/>
      <c r="H16" s="54"/>
      <c r="I16" s="54"/>
      <c r="J16" s="53">
        <v>1</v>
      </c>
    </row>
    <row r="17" spans="1:10">
      <c r="A17" s="128" t="s">
        <v>538</v>
      </c>
      <c r="B17" t="s">
        <v>344</v>
      </c>
      <c r="C17" t="s">
        <v>448</v>
      </c>
      <c r="D17" s="54"/>
      <c r="E17" s="54">
        <v>1</v>
      </c>
      <c r="F17" s="54"/>
      <c r="G17" s="54"/>
      <c r="H17" s="54"/>
      <c r="I17" s="54"/>
      <c r="J17" s="53">
        <v>1</v>
      </c>
    </row>
    <row r="18" spans="1:10">
      <c r="A18" s="128" t="s">
        <v>536</v>
      </c>
      <c r="B18" t="s">
        <v>444</v>
      </c>
      <c r="C18" t="s">
        <v>448</v>
      </c>
      <c r="D18" s="54"/>
      <c r="E18" s="54"/>
      <c r="F18" s="54"/>
      <c r="G18" s="54"/>
      <c r="H18" s="54"/>
      <c r="I18" s="54">
        <v>1</v>
      </c>
      <c r="J18" s="53">
        <v>1</v>
      </c>
    </row>
    <row r="19" spans="1:10">
      <c r="A19" s="128" t="s">
        <v>540</v>
      </c>
      <c r="B19" t="s">
        <v>444</v>
      </c>
      <c r="C19" t="s">
        <v>447</v>
      </c>
      <c r="D19" s="54"/>
      <c r="E19" s="54"/>
      <c r="F19" s="54"/>
      <c r="G19" s="54">
        <v>1</v>
      </c>
      <c r="H19" s="54"/>
      <c r="I19" s="54"/>
      <c r="J19" s="53">
        <v>1</v>
      </c>
    </row>
    <row r="20" spans="1:10">
      <c r="A20" s="128" t="s">
        <v>534</v>
      </c>
      <c r="B20" t="s">
        <v>444</v>
      </c>
      <c r="C20" t="s">
        <v>447</v>
      </c>
      <c r="D20" s="54"/>
      <c r="E20" s="54"/>
      <c r="F20" s="54"/>
      <c r="G20" s="54"/>
      <c r="H20" s="54"/>
      <c r="I20" s="54">
        <v>1</v>
      </c>
      <c r="J20" s="53">
        <v>1</v>
      </c>
    </row>
    <row r="21" spans="1:10">
      <c r="A21" s="128" t="s">
        <v>541</v>
      </c>
      <c r="B21" t="s">
        <v>220</v>
      </c>
      <c r="C21" t="s">
        <v>447</v>
      </c>
      <c r="D21" s="54"/>
      <c r="E21" s="54"/>
      <c r="F21" s="54"/>
      <c r="G21" s="54"/>
      <c r="H21" s="54">
        <v>1</v>
      </c>
      <c r="I21" s="54"/>
      <c r="J21" s="53">
        <v>1</v>
      </c>
    </row>
    <row r="22" spans="1:10">
      <c r="A22" s="128" t="s">
        <v>539</v>
      </c>
      <c r="B22" t="s">
        <v>344</v>
      </c>
      <c r="C22" t="s">
        <v>447</v>
      </c>
      <c r="D22" s="54"/>
      <c r="E22" s="54"/>
      <c r="F22" s="54">
        <v>1</v>
      </c>
      <c r="G22" s="54"/>
      <c r="H22" s="54"/>
      <c r="I22" s="54"/>
      <c r="J22" s="53">
        <v>1</v>
      </c>
    </row>
    <row r="23" spans="1:10">
      <c r="A23" s="128" t="s">
        <v>532</v>
      </c>
      <c r="B23" t="s">
        <v>446</v>
      </c>
      <c r="C23" t="s">
        <v>447</v>
      </c>
      <c r="D23" s="54">
        <v>1</v>
      </c>
      <c r="E23" s="54"/>
      <c r="F23" s="54"/>
      <c r="G23" s="54"/>
      <c r="H23" s="54"/>
      <c r="I23" s="54"/>
      <c r="J23" s="53">
        <v>1</v>
      </c>
    </row>
    <row r="24" spans="1:10">
      <c r="A24" t="s">
        <v>0</v>
      </c>
      <c r="B24"/>
      <c r="C24"/>
      <c r="D24" s="54">
        <v>1</v>
      </c>
      <c r="E24" s="54">
        <v>2</v>
      </c>
      <c r="F24" s="54">
        <v>2</v>
      </c>
      <c r="G24" s="54">
        <v>1</v>
      </c>
      <c r="H24" s="54">
        <v>3</v>
      </c>
      <c r="I24" s="54">
        <v>3</v>
      </c>
      <c r="J24" s="53">
        <v>12</v>
      </c>
    </row>
    <row r="25" spans="1:10">
      <c r="B25"/>
      <c r="C25"/>
      <c r="D25"/>
      <c r="E25"/>
      <c r="F25"/>
      <c r="G25"/>
      <c r="H25"/>
    </row>
    <row r="26" spans="1:10">
      <c r="B26"/>
      <c r="C26"/>
      <c r="D26"/>
      <c r="E26"/>
      <c r="F26"/>
      <c r="G26"/>
      <c r="H26"/>
    </row>
    <row r="27" spans="1:10">
      <c r="B27"/>
      <c r="C27"/>
      <c r="D27"/>
      <c r="E27"/>
      <c r="F27"/>
      <c r="G27"/>
      <c r="H27"/>
    </row>
    <row r="28" spans="1:10">
      <c r="B28"/>
      <c r="C28"/>
      <c r="D28"/>
      <c r="E28"/>
      <c r="F28"/>
      <c r="G28"/>
      <c r="H28"/>
    </row>
    <row r="29" spans="1:10">
      <c r="B29"/>
      <c r="C29"/>
      <c r="D29"/>
      <c r="E29"/>
      <c r="F29"/>
      <c r="G29"/>
      <c r="H29"/>
    </row>
    <row r="30" spans="1:10">
      <c r="B30"/>
      <c r="C30"/>
      <c r="D30"/>
      <c r="E30"/>
      <c r="F30"/>
      <c r="G30"/>
      <c r="H30"/>
    </row>
    <row r="31" spans="1:10">
      <c r="B31"/>
      <c r="C31"/>
      <c r="D31"/>
      <c r="E31"/>
      <c r="F31"/>
      <c r="G31"/>
      <c r="H31"/>
    </row>
    <row r="32" spans="1:10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</sheetData>
  <conditionalFormatting pivot="1" sqref="J13:J24">
    <cfRule type="top10" dxfId="78" priority="1" rank="10"/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Quitar_Filtro_Topsiniestros">
                <anchor moveWithCells="1" sizeWithCells="1">
                  <from>
                    <xdr:col>6</xdr:col>
                    <xdr:colOff>161925</xdr:colOff>
                    <xdr:row>5</xdr:row>
                    <xdr:rowOff>114300</xdr:rowOff>
                  </from>
                  <to>
                    <xdr:col>7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A11:J145"/>
  <sheetViews>
    <sheetView showGridLines="0" workbookViewId="0">
      <pane xSplit="1" ySplit="12" topLeftCell="B13" activePane="bottomRight" state="frozen"/>
      <selection pane="topRight" activeCell="B1" sqref="B1"/>
      <selection pane="bottomLeft" activeCell="A13" sqref="A13"/>
      <selection pane="bottomRight" activeCell="C12" sqref="C12"/>
    </sheetView>
  </sheetViews>
  <sheetFormatPr baseColWidth="10" defaultRowHeight="12.75"/>
  <cols>
    <col min="1" max="1" width="36.42578125" customWidth="1"/>
    <col min="2" max="2" width="23.5703125" style="39" customWidth="1"/>
    <col min="3" max="3" width="20.85546875" style="39" customWidth="1"/>
    <col min="4" max="4" width="11.140625" style="39" customWidth="1"/>
    <col min="5" max="5" width="13.140625" style="39" customWidth="1"/>
    <col min="6" max="8" width="11.140625" style="39" customWidth="1"/>
    <col min="9" max="9" width="11.85546875" customWidth="1"/>
    <col min="10" max="10" width="12.7109375" bestFit="1" customWidth="1"/>
    <col min="11" max="12" width="12.7109375" customWidth="1"/>
    <col min="13" max="13" width="12.28515625" bestFit="1" customWidth="1"/>
    <col min="15" max="15" width="12.28515625" bestFit="1" customWidth="1"/>
    <col min="17" max="17" width="12.28515625" bestFit="1" customWidth="1"/>
    <col min="19" max="19" width="13.85546875" bestFit="1" customWidth="1"/>
  </cols>
  <sheetData>
    <row r="11" spans="1:10">
      <c r="A11" s="52" t="s">
        <v>490</v>
      </c>
      <c r="B11"/>
      <c r="C11"/>
      <c r="D11"/>
      <c r="E11"/>
      <c r="F11"/>
      <c r="G11"/>
      <c r="H11"/>
    </row>
    <row r="12" spans="1:10">
      <c r="B12"/>
      <c r="C12"/>
      <c r="D12" s="97">
        <v>43497</v>
      </c>
      <c r="E12" s="97">
        <v>43525</v>
      </c>
      <c r="F12" s="97">
        <v>43556</v>
      </c>
      <c r="G12" s="97">
        <v>43586</v>
      </c>
      <c r="H12" s="97">
        <v>43617</v>
      </c>
      <c r="I12" s="97">
        <v>43647</v>
      </c>
      <c r="J12" t="s">
        <v>0</v>
      </c>
    </row>
    <row r="13" spans="1:10">
      <c r="A13" s="128" t="s">
        <v>488</v>
      </c>
      <c r="B13" t="s">
        <v>447</v>
      </c>
      <c r="C13" t="s">
        <v>519</v>
      </c>
      <c r="D13" s="127"/>
      <c r="E13" s="127"/>
      <c r="F13" s="127"/>
      <c r="G13" s="127"/>
      <c r="H13" s="127">
        <v>2597.8200000000002</v>
      </c>
      <c r="I13" s="127"/>
      <c r="J13" s="93">
        <v>2597.8200000000002</v>
      </c>
    </row>
    <row r="14" spans="1:10">
      <c r="A14" s="128" t="s">
        <v>488</v>
      </c>
      <c r="B14" t="s">
        <v>447</v>
      </c>
      <c r="C14" t="s">
        <v>237</v>
      </c>
      <c r="D14" s="127"/>
      <c r="E14" s="127"/>
      <c r="F14" s="127"/>
      <c r="G14" s="127"/>
      <c r="H14" s="127"/>
      <c r="I14" s="127">
        <v>135688.5</v>
      </c>
      <c r="J14" s="93">
        <v>135688.5</v>
      </c>
    </row>
    <row r="15" spans="1:10">
      <c r="A15" s="128" t="s">
        <v>539</v>
      </c>
      <c r="B15" t="s">
        <v>447</v>
      </c>
      <c r="C15" t="s">
        <v>344</v>
      </c>
      <c r="D15" s="127"/>
      <c r="E15" s="127"/>
      <c r="F15" s="127">
        <v>103326.84</v>
      </c>
      <c r="G15" s="127"/>
      <c r="H15" s="127"/>
      <c r="I15" s="127"/>
      <c r="J15" s="93">
        <v>103326.84</v>
      </c>
    </row>
    <row r="16" spans="1:10">
      <c r="A16" s="128" t="s">
        <v>541</v>
      </c>
      <c r="B16" t="s">
        <v>447</v>
      </c>
      <c r="C16" t="s">
        <v>220</v>
      </c>
      <c r="D16" s="127"/>
      <c r="E16" s="127"/>
      <c r="F16" s="127"/>
      <c r="G16" s="127"/>
      <c r="H16" s="127">
        <v>21423.35</v>
      </c>
      <c r="I16" s="127"/>
      <c r="J16" s="93">
        <v>21423.35</v>
      </c>
    </row>
    <row r="17" spans="1:10">
      <c r="A17" s="128" t="s">
        <v>534</v>
      </c>
      <c r="B17" t="s">
        <v>447</v>
      </c>
      <c r="C17" t="s">
        <v>444</v>
      </c>
      <c r="D17" s="127"/>
      <c r="E17" s="127"/>
      <c r="F17" s="127"/>
      <c r="G17" s="127"/>
      <c r="H17" s="127"/>
      <c r="I17" s="127">
        <v>20949.55</v>
      </c>
      <c r="J17" s="93">
        <v>20949.55</v>
      </c>
    </row>
    <row r="18" spans="1:10">
      <c r="A18" s="128" t="s">
        <v>542</v>
      </c>
      <c r="B18" t="s">
        <v>448</v>
      </c>
      <c r="C18" t="s">
        <v>449</v>
      </c>
      <c r="D18" s="127"/>
      <c r="E18" s="127"/>
      <c r="F18" s="127">
        <v>1835.4</v>
      </c>
      <c r="G18" s="127"/>
      <c r="H18" s="127">
        <v>9633.98</v>
      </c>
      <c r="I18" s="127"/>
      <c r="J18" s="93">
        <v>11469.38</v>
      </c>
    </row>
    <row r="19" spans="1:10">
      <c r="A19" s="128" t="s">
        <v>532</v>
      </c>
      <c r="B19" t="s">
        <v>447</v>
      </c>
      <c r="C19" t="s">
        <v>446</v>
      </c>
      <c r="D19" s="127">
        <v>9984.2999999999993</v>
      </c>
      <c r="E19" s="127"/>
      <c r="F19" s="127"/>
      <c r="G19" s="127"/>
      <c r="H19" s="127"/>
      <c r="I19" s="127"/>
      <c r="J19" s="93">
        <v>9984.2999999999993</v>
      </c>
    </row>
    <row r="20" spans="1:10">
      <c r="A20" s="128" t="s">
        <v>536</v>
      </c>
      <c r="B20" t="s">
        <v>448</v>
      </c>
      <c r="C20" t="s">
        <v>444</v>
      </c>
      <c r="D20" s="127"/>
      <c r="E20" s="127"/>
      <c r="F20" s="127"/>
      <c r="G20" s="127"/>
      <c r="H20" s="127"/>
      <c r="I20" s="127">
        <v>7564.7</v>
      </c>
      <c r="J20" s="93">
        <v>7564.7</v>
      </c>
    </row>
    <row r="21" spans="1:10">
      <c r="A21" s="128" t="s">
        <v>538</v>
      </c>
      <c r="B21" t="s">
        <v>448</v>
      </c>
      <c r="C21" t="s">
        <v>445</v>
      </c>
      <c r="D21" s="127"/>
      <c r="E21" s="127">
        <v>828.83</v>
      </c>
      <c r="F21" s="127"/>
      <c r="G21" s="127"/>
      <c r="H21" s="127"/>
      <c r="I21" s="127"/>
      <c r="J21" s="93">
        <v>828.83</v>
      </c>
    </row>
    <row r="22" spans="1:10">
      <c r="A22" s="128" t="s">
        <v>538</v>
      </c>
      <c r="B22" t="s">
        <v>448</v>
      </c>
      <c r="C22" t="s">
        <v>344</v>
      </c>
      <c r="D22" s="127"/>
      <c r="E22" s="127">
        <v>460</v>
      </c>
      <c r="F22" s="127"/>
      <c r="G22" s="127"/>
      <c r="H22" s="127"/>
      <c r="I22" s="127"/>
      <c r="J22" s="93">
        <v>460</v>
      </c>
    </row>
    <row r="23" spans="1:10">
      <c r="A23" s="128" t="s">
        <v>540</v>
      </c>
      <c r="B23" t="s">
        <v>447</v>
      </c>
      <c r="C23" t="s">
        <v>444</v>
      </c>
      <c r="D23" s="127"/>
      <c r="E23" s="127"/>
      <c r="F23" s="127"/>
      <c r="G23" s="127">
        <v>-13228.45</v>
      </c>
      <c r="H23" s="127"/>
      <c r="I23" s="127"/>
      <c r="J23" s="93">
        <v>-13228.45</v>
      </c>
    </row>
    <row r="24" spans="1:10">
      <c r="A24" t="s">
        <v>0</v>
      </c>
      <c r="B24"/>
      <c r="C24"/>
      <c r="D24" s="127">
        <v>9984.2999999999993</v>
      </c>
      <c r="E24" s="127">
        <v>1288.83</v>
      </c>
      <c r="F24" s="127">
        <v>105162.23999999999</v>
      </c>
      <c r="G24" s="127">
        <v>-13228.45</v>
      </c>
      <c r="H24" s="127">
        <v>33655.149999999994</v>
      </c>
      <c r="I24" s="127">
        <v>164202.75</v>
      </c>
      <c r="J24" s="93">
        <v>301064.82</v>
      </c>
    </row>
    <row r="25" spans="1:10">
      <c r="B25"/>
      <c r="C25"/>
      <c r="D25"/>
      <c r="E25"/>
      <c r="F25"/>
      <c r="G25"/>
      <c r="H25"/>
    </row>
    <row r="26" spans="1:10">
      <c r="B26"/>
      <c r="C26"/>
      <c r="D26"/>
      <c r="E26"/>
      <c r="F26"/>
      <c r="G26"/>
      <c r="H26"/>
    </row>
    <row r="27" spans="1:10">
      <c r="B27"/>
      <c r="C27"/>
      <c r="D27"/>
      <c r="E27"/>
      <c r="F27"/>
      <c r="G27"/>
      <c r="H27"/>
    </row>
    <row r="28" spans="1:10">
      <c r="B28"/>
      <c r="C28"/>
      <c r="D28"/>
      <c r="E28"/>
      <c r="F28"/>
      <c r="G28"/>
      <c r="H28"/>
    </row>
    <row r="29" spans="1:10">
      <c r="B29"/>
      <c r="C29"/>
      <c r="D29"/>
      <c r="E29"/>
      <c r="F29"/>
      <c r="G29"/>
      <c r="H29"/>
    </row>
    <row r="30" spans="1:10">
      <c r="B30"/>
      <c r="C30"/>
      <c r="D30"/>
      <c r="E30"/>
      <c r="F30"/>
      <c r="G30"/>
      <c r="H30"/>
    </row>
    <row r="31" spans="1:10">
      <c r="B31"/>
      <c r="C31"/>
      <c r="D31"/>
      <c r="E31"/>
      <c r="F31"/>
      <c r="G31"/>
      <c r="H31"/>
    </row>
    <row r="32" spans="1:10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</sheetData>
  <conditionalFormatting pivot="1" sqref="J13:J24">
    <cfRule type="top10" dxfId="73" priority="1" rank="10"/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Quitar_Filtro_Pesos">
                <anchor moveWithCells="1" sizeWithCells="1">
                  <from>
                    <xdr:col>5</xdr:col>
                    <xdr:colOff>723900</xdr:colOff>
                    <xdr:row>5</xdr:row>
                    <xdr:rowOff>123825</xdr:rowOff>
                  </from>
                  <to>
                    <xdr:col>7</xdr:col>
                    <xdr:colOff>19050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2:P35"/>
  <sheetViews>
    <sheetView showGridLines="0" zoomScale="90" zoomScaleNormal="90" workbookViewId="0">
      <selection activeCell="B5" sqref="B5"/>
    </sheetView>
  </sheetViews>
  <sheetFormatPr baseColWidth="10" defaultRowHeight="12.75"/>
  <cols>
    <col min="2" max="4" width="10.42578125" style="39" customWidth="1"/>
    <col min="5" max="5" width="11.42578125" style="39" customWidth="1"/>
    <col min="6" max="13" width="10.42578125" style="39" customWidth="1"/>
    <col min="14" max="14" width="13.140625" style="39" customWidth="1"/>
    <col min="15" max="15" width="16.140625" style="39" customWidth="1"/>
    <col min="16" max="16" width="15.42578125" style="39" hidden="1" customWidth="1"/>
  </cols>
  <sheetData>
    <row r="2" spans="1:16" ht="15">
      <c r="A2" s="154" t="s">
        <v>418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6"/>
    </row>
    <row r="3" spans="1:16">
      <c r="A3" s="35" t="s">
        <v>401</v>
      </c>
      <c r="B3" s="43" t="s">
        <v>402</v>
      </c>
      <c r="C3" s="43" t="s">
        <v>403</v>
      </c>
      <c r="D3" s="43" t="s">
        <v>404</v>
      </c>
      <c r="E3" s="43" t="s">
        <v>405</v>
      </c>
      <c r="F3" s="43" t="s">
        <v>406</v>
      </c>
      <c r="G3" s="43" t="s">
        <v>407</v>
      </c>
      <c r="H3" s="43" t="s">
        <v>408</v>
      </c>
      <c r="I3" s="43" t="s">
        <v>409</v>
      </c>
      <c r="J3" s="43" t="s">
        <v>410</v>
      </c>
      <c r="K3" s="43" t="s">
        <v>411</v>
      </c>
      <c r="L3" s="43" t="s">
        <v>412</v>
      </c>
      <c r="M3" s="43" t="s">
        <v>413</v>
      </c>
      <c r="N3" s="44" t="s">
        <v>414</v>
      </c>
      <c r="O3" s="36" t="s">
        <v>491</v>
      </c>
      <c r="P3" s="37" t="s">
        <v>489</v>
      </c>
    </row>
    <row r="4" spans="1:16">
      <c r="A4" s="45">
        <v>2018</v>
      </c>
      <c r="B4" s="40">
        <v>22</v>
      </c>
      <c r="C4" s="40">
        <v>19</v>
      </c>
      <c r="D4" s="40">
        <v>24</v>
      </c>
      <c r="E4" s="40">
        <v>19</v>
      </c>
      <c r="F4" s="40">
        <v>21</v>
      </c>
      <c r="G4" s="40">
        <v>26</v>
      </c>
      <c r="H4" s="40">
        <v>17</v>
      </c>
      <c r="I4" s="40">
        <v>24</v>
      </c>
      <c r="J4" s="40">
        <v>20</v>
      </c>
      <c r="K4" s="40">
        <v>33</v>
      </c>
      <c r="L4" s="40">
        <v>28</v>
      </c>
      <c r="M4" s="40">
        <v>19</v>
      </c>
      <c r="N4" s="47">
        <f>SUM(B4:M4)</f>
        <v>272</v>
      </c>
      <c r="O4" s="48">
        <f>SUM(B4:H4)</f>
        <v>148</v>
      </c>
      <c r="P4" s="40">
        <f>AVERAGE(B4:F4)</f>
        <v>21</v>
      </c>
    </row>
    <row r="5" spans="1:16" ht="14.25">
      <c r="A5" s="46">
        <v>2019</v>
      </c>
      <c r="B5" s="94">
        <v>26</v>
      </c>
      <c r="C5" s="94">
        <v>22</v>
      </c>
      <c r="D5" s="94">
        <v>24</v>
      </c>
      <c r="E5" s="94">
        <v>21</v>
      </c>
      <c r="F5" s="94">
        <v>25</v>
      </c>
      <c r="G5" s="94">
        <v>28</v>
      </c>
      <c r="H5" s="94">
        <v>20</v>
      </c>
      <c r="I5" s="40"/>
      <c r="J5" s="40"/>
      <c r="K5" s="40"/>
      <c r="L5" s="40"/>
      <c r="M5" s="40"/>
      <c r="N5" s="47">
        <f>SUM(B5:M5)</f>
        <v>166</v>
      </c>
      <c r="O5" s="48">
        <f>SUM(B5:H5)</f>
        <v>166</v>
      </c>
      <c r="P5" s="40">
        <f>AVERAGE(B5:F5)</f>
        <v>23.6</v>
      </c>
    </row>
    <row r="6" spans="1:16">
      <c r="A6" s="87" t="s">
        <v>415</v>
      </c>
      <c r="B6" s="88">
        <f>IF(B5&lt;=0,"",B5-B4)</f>
        <v>4</v>
      </c>
      <c r="C6" s="88">
        <f>IF(C5&lt;=0,"",C5-C4)</f>
        <v>3</v>
      </c>
      <c r="D6" s="88">
        <f>IF(D5&lt;=0,"",D5-D4)</f>
        <v>0</v>
      </c>
      <c r="E6" s="88">
        <f>IF(E5&lt;=0,"",E5-E4)</f>
        <v>2</v>
      </c>
      <c r="F6" s="88">
        <f>IF(F5&lt;=0,"",F5-F4)</f>
        <v>4</v>
      </c>
      <c r="G6" s="88">
        <f t="shared" ref="G6:M6" si="0">IF(G5&lt;=0,"",G5-G4)</f>
        <v>2</v>
      </c>
      <c r="H6" s="88">
        <f t="shared" si="0"/>
        <v>3</v>
      </c>
      <c r="I6" s="88" t="str">
        <f t="shared" si="0"/>
        <v/>
      </c>
      <c r="J6" s="88" t="str">
        <f t="shared" si="0"/>
        <v/>
      </c>
      <c r="K6" s="88" t="str">
        <f t="shared" si="0"/>
        <v/>
      </c>
      <c r="L6" s="88" t="str">
        <f t="shared" si="0"/>
        <v/>
      </c>
      <c r="M6" s="88" t="str">
        <f t="shared" si="0"/>
        <v/>
      </c>
      <c r="N6" s="49" t="s">
        <v>416</v>
      </c>
      <c r="O6" s="50">
        <f>O5-O4</f>
        <v>18</v>
      </c>
      <c r="P6" s="38"/>
    </row>
    <row r="7" spans="1:16">
      <c r="A7" s="87" t="s">
        <v>419</v>
      </c>
      <c r="B7" s="89">
        <v>0</v>
      </c>
      <c r="C7" s="89">
        <v>1</v>
      </c>
      <c r="D7" s="89">
        <v>2</v>
      </c>
      <c r="E7" s="89">
        <v>2</v>
      </c>
      <c r="F7" s="89">
        <v>0</v>
      </c>
      <c r="G7" s="88">
        <v>0</v>
      </c>
      <c r="H7" s="88">
        <v>0</v>
      </c>
      <c r="I7" s="88">
        <v>1</v>
      </c>
      <c r="J7" s="88">
        <v>0</v>
      </c>
      <c r="K7" s="88">
        <v>0</v>
      </c>
      <c r="L7" s="88">
        <v>0</v>
      </c>
      <c r="M7" s="88">
        <v>1</v>
      </c>
      <c r="N7" s="49" t="s">
        <v>417</v>
      </c>
      <c r="O7" s="51">
        <f>O5/O4-1</f>
        <v>0.12162162162162171</v>
      </c>
      <c r="P7" s="42"/>
    </row>
    <row r="8" spans="1:16">
      <c r="A8" s="87" t="s">
        <v>420</v>
      </c>
      <c r="B8" s="89">
        <v>0</v>
      </c>
      <c r="C8" s="89">
        <v>0</v>
      </c>
      <c r="D8" s="89">
        <v>0</v>
      </c>
      <c r="E8" s="89">
        <v>0</v>
      </c>
      <c r="F8" s="89">
        <v>1</v>
      </c>
      <c r="G8" s="90"/>
      <c r="H8" s="90"/>
      <c r="I8" s="90"/>
      <c r="J8" s="90"/>
      <c r="K8" s="90"/>
      <c r="L8" s="90"/>
      <c r="M8" s="90"/>
    </row>
    <row r="18" spans="1:16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</row>
    <row r="19" spans="1:16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</row>
    <row r="20" spans="1:16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</row>
    <row r="21" spans="1:16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</row>
    <row r="22" spans="1:16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</row>
    <row r="25" spans="1:16" ht="15">
      <c r="A25" s="157" t="s">
        <v>450</v>
      </c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9"/>
    </row>
    <row r="26" spans="1:16" ht="15">
      <c r="A26" s="55" t="s">
        <v>401</v>
      </c>
      <c r="B26" s="56" t="s">
        <v>402</v>
      </c>
      <c r="C26" s="56" t="s">
        <v>403</v>
      </c>
      <c r="D26" s="56" t="s">
        <v>404</v>
      </c>
      <c r="E26" s="56" t="s">
        <v>405</v>
      </c>
      <c r="F26" s="56" t="s">
        <v>406</v>
      </c>
      <c r="G26" s="56" t="s">
        <v>407</v>
      </c>
      <c r="H26" s="56" t="s">
        <v>408</v>
      </c>
      <c r="I26" s="56" t="s">
        <v>409</v>
      </c>
      <c r="J26" s="56" t="s">
        <v>410</v>
      </c>
      <c r="K26" s="56" t="s">
        <v>411</v>
      </c>
      <c r="L26" s="56" t="s">
        <v>412</v>
      </c>
      <c r="M26" s="56" t="s">
        <v>413</v>
      </c>
      <c r="N26" s="57" t="s">
        <v>414</v>
      </c>
      <c r="O26" s="58" t="s">
        <v>491</v>
      </c>
      <c r="P26" s="59" t="s">
        <v>489</v>
      </c>
    </row>
    <row r="27" spans="1:16" ht="15">
      <c r="A27" s="60">
        <v>2018</v>
      </c>
      <c r="B27" s="61">
        <f>160429.24/1000</f>
        <v>160.42923999999999</v>
      </c>
      <c r="C27" s="61">
        <f>397780.08/1000</f>
        <v>397.78008</v>
      </c>
      <c r="D27" s="61">
        <f>1413796.23/1000</f>
        <v>1413.7962299999999</v>
      </c>
      <c r="E27" s="61">
        <f>364114.34/1000</f>
        <v>364.11434000000003</v>
      </c>
      <c r="F27" s="61">
        <f>227374.04/1000</f>
        <v>227.37404000000001</v>
      </c>
      <c r="G27" s="61">
        <f>91448.19/1000</f>
        <v>91.448189999999997</v>
      </c>
      <c r="H27" s="61">
        <f>316773.27/1000</f>
        <v>316.77327000000002</v>
      </c>
      <c r="I27" s="61">
        <f>203966.58/1000</f>
        <v>203.96657999999999</v>
      </c>
      <c r="J27" s="61">
        <f>32230.26/1000</f>
        <v>32.230260000000001</v>
      </c>
      <c r="K27" s="61">
        <f>437722.38/1000</f>
        <v>437.72237999999999</v>
      </c>
      <c r="L27" s="61">
        <f>210074.29/1000</f>
        <v>210.07429000000002</v>
      </c>
      <c r="M27" s="61">
        <f>460715.47/1000</f>
        <v>460.71546999999998</v>
      </c>
      <c r="N27" s="67">
        <f>SUM(B27:M27)</f>
        <v>4316.4243699999997</v>
      </c>
      <c r="O27" s="66">
        <f>SUM(B27:H27)</f>
        <v>2971.7153900000003</v>
      </c>
      <c r="P27" s="62">
        <f>AVERAGE(B27:F27)</f>
        <v>512.69878600000004</v>
      </c>
    </row>
    <row r="28" spans="1:16" ht="15">
      <c r="A28" s="63">
        <v>2019</v>
      </c>
      <c r="B28" s="61">
        <f>264034.72/1000</f>
        <v>264.03471999999999</v>
      </c>
      <c r="C28" s="61">
        <f>179990.29/1000</f>
        <v>179.99029000000002</v>
      </c>
      <c r="D28" s="61">
        <f>269696.82/1000</f>
        <v>269.69682</v>
      </c>
      <c r="E28" s="61">
        <v>202</v>
      </c>
      <c r="F28" s="61">
        <v>306</v>
      </c>
      <c r="G28" s="64">
        <v>136</v>
      </c>
      <c r="H28" s="64">
        <v>202</v>
      </c>
      <c r="I28" s="64"/>
      <c r="J28" s="64"/>
      <c r="K28" s="64"/>
      <c r="L28" s="64"/>
      <c r="M28" s="64"/>
      <c r="N28" s="67">
        <f>SUM(B28:M28)</f>
        <v>1559.72183</v>
      </c>
      <c r="O28" s="66">
        <f>SUM(B28:H28)</f>
        <v>1559.72183</v>
      </c>
      <c r="P28" s="62">
        <f>AVERAGE(B28:F28)</f>
        <v>244.34436599999998</v>
      </c>
    </row>
    <row r="29" spans="1:16">
      <c r="A29" s="8"/>
      <c r="B29" s="8"/>
      <c r="C29" s="8"/>
      <c r="D29" s="8"/>
      <c r="E29" s="8"/>
      <c r="F29" s="8"/>
      <c r="N29" s="49" t="s">
        <v>416</v>
      </c>
      <c r="O29" s="70">
        <f>O28-O27</f>
        <v>-1411.9935600000003</v>
      </c>
    </row>
    <row r="30" spans="1:16">
      <c r="B30"/>
      <c r="C30"/>
      <c r="D30"/>
      <c r="E30"/>
      <c r="F30"/>
      <c r="G30"/>
      <c r="H30"/>
      <c r="I30"/>
      <c r="N30" s="49" t="s">
        <v>417</v>
      </c>
      <c r="O30" s="69">
        <f>O28/O27-1</f>
        <v>-0.47514427685485727</v>
      </c>
    </row>
    <row r="32" spans="1:16">
      <c r="C32" s="8"/>
      <c r="D32" s="8"/>
      <c r="E32" s="8"/>
    </row>
    <row r="35" spans="15:15">
      <c r="O35" s="68"/>
    </row>
  </sheetData>
  <mergeCells count="2">
    <mergeCell ref="A2:P2"/>
    <mergeCell ref="A25:P25"/>
  </mergeCells>
  <conditionalFormatting sqref="O6">
    <cfRule type="cellIs" dxfId="67" priority="10" operator="greaterThan">
      <formula>0</formula>
    </cfRule>
    <cfRule type="cellIs" dxfId="66" priority="11" operator="lessThan">
      <formula>0</formula>
    </cfRule>
  </conditionalFormatting>
  <conditionalFormatting sqref="O7">
    <cfRule type="cellIs" dxfId="65" priority="8" operator="greaterThan">
      <formula>0</formula>
    </cfRule>
    <cfRule type="cellIs" dxfId="64" priority="9" operator="lessThan">
      <formula>0</formula>
    </cfRule>
  </conditionalFormatting>
  <conditionalFormatting sqref="O29">
    <cfRule type="cellIs" dxfId="63" priority="3" operator="greaterThan">
      <formula>0</formula>
    </cfRule>
    <cfRule type="cellIs" dxfId="62" priority="4" operator="lessThan">
      <formula>0</formula>
    </cfRule>
  </conditionalFormatting>
  <conditionalFormatting sqref="O30">
    <cfRule type="cellIs" dxfId="61" priority="1" operator="greaterThan">
      <formula>0</formula>
    </cfRule>
    <cfRule type="cellIs" dxfId="60" priority="2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filterMode="1"/>
  <dimension ref="A1:AX285"/>
  <sheetViews>
    <sheetView tabSelected="1" zoomScale="90" zoomScaleNormal="90" workbookViewId="0">
      <pane ySplit="1" topLeftCell="A6" activePane="bottomLeft" state="frozen"/>
      <selection activeCell="AG1" sqref="AG1"/>
      <selection pane="bottomLeft" activeCell="F300" sqref="F300"/>
    </sheetView>
  </sheetViews>
  <sheetFormatPr baseColWidth="10" defaultRowHeight="12.75"/>
  <cols>
    <col min="5" max="7" width="12.140625" style="112" bestFit="1" customWidth="1"/>
    <col min="8" max="9" width="13.28515625" style="112" bestFit="1" customWidth="1"/>
    <col min="10" max="12" width="12.140625" style="112" bestFit="1" customWidth="1"/>
    <col min="13" max="16" width="13.28515625" style="112" bestFit="1" customWidth="1"/>
    <col min="17" max="17" width="11.5703125" style="112" bestFit="1" customWidth="1"/>
    <col min="18" max="18" width="13.28515625" style="112" bestFit="1" customWidth="1"/>
    <col min="19" max="19" width="11.5703125" style="112" bestFit="1" customWidth="1"/>
    <col min="34" max="34" width="21.28515625" customWidth="1"/>
    <col min="36" max="36" width="28.7109375" customWidth="1"/>
    <col min="44" max="44" width="21.7109375" customWidth="1"/>
    <col min="46" max="46" width="17.42578125" customWidth="1"/>
    <col min="47" max="47" width="22.7109375" customWidth="1"/>
    <col min="48" max="48" width="11.42578125" style="99"/>
    <col min="49" max="49" width="39.140625" customWidth="1"/>
    <col min="50" max="50" width="67.85546875" bestFit="1" customWidth="1"/>
    <col min="51" max="16384" width="11.42578125" style="115"/>
  </cols>
  <sheetData>
    <row r="1" spans="1:50" customFormat="1" ht="15">
      <c r="A1" s="29" t="s">
        <v>46</v>
      </c>
      <c r="B1" s="29" t="s">
        <v>47</v>
      </c>
      <c r="C1" s="29" t="s">
        <v>48</v>
      </c>
      <c r="D1" s="30" t="s">
        <v>49</v>
      </c>
      <c r="E1" s="111" t="s">
        <v>50</v>
      </c>
      <c r="F1" s="111" t="s">
        <v>51</v>
      </c>
      <c r="G1" s="111" t="s">
        <v>52</v>
      </c>
      <c r="H1" s="111" t="s">
        <v>53</v>
      </c>
      <c r="I1" s="114" t="s">
        <v>54</v>
      </c>
      <c r="J1" s="114" t="s">
        <v>55</v>
      </c>
      <c r="K1" s="114" t="s">
        <v>56</v>
      </c>
      <c r="L1" s="114" t="s">
        <v>57</v>
      </c>
      <c r="M1" s="114" t="s">
        <v>58</v>
      </c>
      <c r="N1" s="114" t="s">
        <v>59</v>
      </c>
      <c r="O1" s="113" t="s">
        <v>85</v>
      </c>
      <c r="P1" s="113" t="s">
        <v>86</v>
      </c>
      <c r="Q1" s="113" t="s">
        <v>87</v>
      </c>
      <c r="R1" s="113" t="s">
        <v>88</v>
      </c>
      <c r="S1" s="113" t="s">
        <v>89</v>
      </c>
      <c r="T1" s="29" t="s">
        <v>60</v>
      </c>
      <c r="U1" s="29" t="s">
        <v>61</v>
      </c>
      <c r="V1" s="29" t="s">
        <v>62</v>
      </c>
      <c r="W1" s="29" t="s">
        <v>63</v>
      </c>
      <c r="X1" s="29" t="s">
        <v>64</v>
      </c>
      <c r="Y1" s="29" t="s">
        <v>65</v>
      </c>
      <c r="Z1" s="29" t="s">
        <v>66</v>
      </c>
      <c r="AA1" s="29" t="s">
        <v>67</v>
      </c>
      <c r="AB1" s="29" t="s">
        <v>68</v>
      </c>
      <c r="AC1" s="29" t="s">
        <v>69</v>
      </c>
      <c r="AD1" s="29" t="s">
        <v>70</v>
      </c>
      <c r="AE1" s="29" t="s">
        <v>71</v>
      </c>
      <c r="AF1" s="29" t="s">
        <v>72</v>
      </c>
      <c r="AG1" s="29" t="s">
        <v>73</v>
      </c>
      <c r="AH1" s="29" t="s">
        <v>74</v>
      </c>
      <c r="AI1" s="29" t="s">
        <v>75</v>
      </c>
      <c r="AJ1" s="29" t="s">
        <v>76</v>
      </c>
      <c r="AK1" s="29" t="s">
        <v>77</v>
      </c>
      <c r="AL1" s="29" t="s">
        <v>78</v>
      </c>
      <c r="AM1" s="29" t="s">
        <v>79</v>
      </c>
      <c r="AN1" s="29" t="s">
        <v>80</v>
      </c>
      <c r="AO1" s="31" t="s">
        <v>81</v>
      </c>
      <c r="AP1" s="29" t="s">
        <v>82</v>
      </c>
      <c r="AQ1" s="29" t="s">
        <v>83</v>
      </c>
      <c r="AR1" s="92" t="s">
        <v>84</v>
      </c>
      <c r="AS1" s="29" t="s">
        <v>530</v>
      </c>
      <c r="AT1" s="29" t="s">
        <v>527</v>
      </c>
      <c r="AU1" s="29" t="s">
        <v>528</v>
      </c>
      <c r="AV1" s="98" t="s">
        <v>529</v>
      </c>
      <c r="AW1" s="29" t="s">
        <v>531</v>
      </c>
      <c r="AX1" s="29" t="s">
        <v>2030</v>
      </c>
    </row>
    <row r="2" spans="1:50" customFormat="1" hidden="1">
      <c r="A2" s="32" t="s">
        <v>362</v>
      </c>
      <c r="B2" s="32" t="s">
        <v>90</v>
      </c>
      <c r="C2" s="32" t="s">
        <v>91</v>
      </c>
      <c r="D2" s="33">
        <v>-4236.6099999999997</v>
      </c>
      <c r="E2" s="112">
        <v>506.53</v>
      </c>
      <c r="F2" s="112">
        <v>0</v>
      </c>
      <c r="G2" s="112">
        <v>0</v>
      </c>
      <c r="H2" s="112">
        <v>0</v>
      </c>
      <c r="I2" s="112">
        <v>1302.3</v>
      </c>
      <c r="J2" s="112">
        <v>0</v>
      </c>
      <c r="K2" s="112">
        <v>0</v>
      </c>
      <c r="L2" s="112">
        <v>0</v>
      </c>
      <c r="M2" s="112">
        <v>8682</v>
      </c>
      <c r="N2" s="112">
        <v>9984.2999999999993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32" t="s">
        <v>282</v>
      </c>
      <c r="U2" s="32" t="s">
        <v>92</v>
      </c>
      <c r="V2" s="32" t="s">
        <v>363</v>
      </c>
      <c r="W2" s="32">
        <v>20181231</v>
      </c>
      <c r="X2" s="32">
        <v>20191230</v>
      </c>
      <c r="Y2" s="32"/>
      <c r="Z2" s="32" t="s">
        <v>9</v>
      </c>
      <c r="AA2" s="32" t="s">
        <v>93</v>
      </c>
      <c r="AB2" s="32" t="s">
        <v>94</v>
      </c>
      <c r="AC2" s="32" t="s">
        <v>95</v>
      </c>
      <c r="AD2" s="32">
        <v>2018</v>
      </c>
      <c r="AE2" s="32" t="s">
        <v>96</v>
      </c>
      <c r="AF2" s="32" t="s">
        <v>289</v>
      </c>
      <c r="AG2" s="32" t="s">
        <v>364</v>
      </c>
      <c r="AH2" s="32"/>
      <c r="AI2" s="32" t="s">
        <v>108</v>
      </c>
      <c r="AJ2" s="32" t="s">
        <v>365</v>
      </c>
      <c r="AK2" s="32" t="s">
        <v>120</v>
      </c>
      <c r="AL2" s="32" t="s">
        <v>129</v>
      </c>
      <c r="AM2" s="32" t="s">
        <v>366</v>
      </c>
      <c r="AN2" s="32"/>
      <c r="AO2" s="34">
        <v>43518</v>
      </c>
      <c r="AP2" s="32" t="s">
        <v>111</v>
      </c>
      <c r="AQ2" s="32">
        <v>33</v>
      </c>
      <c r="AS2" s="65">
        <v>43497</v>
      </c>
      <c r="AT2" t="s">
        <v>447</v>
      </c>
      <c r="AU2" t="s">
        <v>446</v>
      </c>
      <c r="AV2" s="99" t="s">
        <v>525</v>
      </c>
      <c r="AW2" t="s">
        <v>532</v>
      </c>
      <c r="AX2" s="32"/>
    </row>
    <row r="3" spans="1:50" customFormat="1" hidden="1">
      <c r="A3" s="32" t="s">
        <v>254</v>
      </c>
      <c r="B3" s="32" t="s">
        <v>90</v>
      </c>
      <c r="C3" s="32" t="s">
        <v>91</v>
      </c>
      <c r="D3" s="33">
        <v>0</v>
      </c>
      <c r="E3" s="112">
        <v>809.73</v>
      </c>
      <c r="F3" s="112">
        <v>0</v>
      </c>
      <c r="G3" s="112">
        <v>809.73</v>
      </c>
      <c r="H3" s="112">
        <v>720.72</v>
      </c>
      <c r="I3" s="112">
        <v>108.11</v>
      </c>
      <c r="J3" s="112">
        <v>0</v>
      </c>
      <c r="K3" s="112">
        <v>0</v>
      </c>
      <c r="L3" s="112">
        <v>0</v>
      </c>
      <c r="M3" s="112">
        <v>0</v>
      </c>
      <c r="N3" s="112">
        <v>828.83</v>
      </c>
      <c r="O3" s="112">
        <v>720.72</v>
      </c>
      <c r="P3" s="112">
        <v>0</v>
      </c>
      <c r="Q3" s="112">
        <v>0</v>
      </c>
      <c r="R3" s="112">
        <v>0</v>
      </c>
      <c r="S3" s="112">
        <v>0</v>
      </c>
      <c r="T3" s="32" t="s">
        <v>244</v>
      </c>
      <c r="U3" s="32" t="s">
        <v>92</v>
      </c>
      <c r="V3" s="32" t="s">
        <v>255</v>
      </c>
      <c r="W3" s="32">
        <v>20181231</v>
      </c>
      <c r="X3" s="32">
        <v>20191230</v>
      </c>
      <c r="Y3" s="32"/>
      <c r="Z3" s="32" t="s">
        <v>9</v>
      </c>
      <c r="AA3" s="32" t="s">
        <v>105</v>
      </c>
      <c r="AB3" s="32" t="s">
        <v>94</v>
      </c>
      <c r="AC3" s="32" t="s">
        <v>106</v>
      </c>
      <c r="AD3" s="32">
        <v>2017</v>
      </c>
      <c r="AE3" s="32" t="s">
        <v>96</v>
      </c>
      <c r="AF3" s="32" t="s">
        <v>97</v>
      </c>
      <c r="AG3" s="32" t="s">
        <v>256</v>
      </c>
      <c r="AH3" s="32"/>
      <c r="AI3" s="32" t="s">
        <v>119</v>
      </c>
      <c r="AJ3" s="32" t="s">
        <v>257</v>
      </c>
      <c r="AK3" s="32" t="s">
        <v>258</v>
      </c>
      <c r="AL3" s="32" t="s">
        <v>110</v>
      </c>
      <c r="AM3" s="32" t="s">
        <v>259</v>
      </c>
      <c r="AN3" s="32"/>
      <c r="AO3" s="34">
        <v>43535</v>
      </c>
      <c r="AP3" s="32" t="s">
        <v>111</v>
      </c>
      <c r="AQ3" s="32">
        <v>33</v>
      </c>
      <c r="AS3" s="65">
        <v>43525</v>
      </c>
      <c r="AT3" t="s">
        <v>448</v>
      </c>
      <c r="AU3" t="s">
        <v>445</v>
      </c>
      <c r="AV3" s="99" t="s">
        <v>518</v>
      </c>
      <c r="AW3" t="s">
        <v>538</v>
      </c>
      <c r="AX3" s="32"/>
    </row>
    <row r="4" spans="1:50" customFormat="1" hidden="1">
      <c r="A4" s="32" t="s">
        <v>358</v>
      </c>
      <c r="B4" s="32" t="s">
        <v>90</v>
      </c>
      <c r="C4" s="32" t="s">
        <v>91</v>
      </c>
      <c r="D4" s="33">
        <v>3541.58</v>
      </c>
      <c r="E4" s="112">
        <v>628.54</v>
      </c>
      <c r="F4" s="112">
        <v>0</v>
      </c>
      <c r="G4" s="112">
        <v>0</v>
      </c>
      <c r="H4" s="112">
        <v>0</v>
      </c>
      <c r="I4" s="112">
        <v>460</v>
      </c>
      <c r="J4" s="112">
        <v>0</v>
      </c>
      <c r="K4" s="112">
        <v>0</v>
      </c>
      <c r="L4" s="112">
        <v>0</v>
      </c>
      <c r="M4" s="112">
        <v>0</v>
      </c>
      <c r="N4" s="112">
        <v>460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32" t="s">
        <v>313</v>
      </c>
      <c r="U4" s="32" t="s">
        <v>92</v>
      </c>
      <c r="V4" s="32" t="s">
        <v>359</v>
      </c>
      <c r="W4" s="32">
        <v>20181231</v>
      </c>
      <c r="X4" s="32">
        <v>20191230</v>
      </c>
      <c r="Y4" s="32"/>
      <c r="Z4" s="32" t="s">
        <v>9</v>
      </c>
      <c r="AA4" s="32" t="s">
        <v>93</v>
      </c>
      <c r="AB4" s="32" t="s">
        <v>94</v>
      </c>
      <c r="AC4" s="32" t="s">
        <v>106</v>
      </c>
      <c r="AD4" s="32">
        <v>2018</v>
      </c>
      <c r="AE4" s="32" t="s">
        <v>96</v>
      </c>
      <c r="AF4" s="32" t="s">
        <v>289</v>
      </c>
      <c r="AG4" s="32" t="s">
        <v>452</v>
      </c>
      <c r="AH4" s="32" t="s">
        <v>453</v>
      </c>
      <c r="AI4" s="32" t="s">
        <v>119</v>
      </c>
      <c r="AJ4" s="32" t="s">
        <v>454</v>
      </c>
      <c r="AK4" s="32" t="s">
        <v>344</v>
      </c>
      <c r="AL4" s="32" t="s">
        <v>129</v>
      </c>
      <c r="AM4" s="32" t="s">
        <v>441</v>
      </c>
      <c r="AN4" s="32"/>
      <c r="AO4" s="34">
        <v>43532</v>
      </c>
      <c r="AP4" s="32" t="s">
        <v>111</v>
      </c>
      <c r="AQ4" s="32">
        <v>33</v>
      </c>
      <c r="AS4" s="65">
        <v>43525</v>
      </c>
      <c r="AT4" t="s">
        <v>448</v>
      </c>
      <c r="AU4" t="s">
        <v>344</v>
      </c>
      <c r="AV4" s="99" t="s">
        <v>523</v>
      </c>
      <c r="AW4" t="s">
        <v>538</v>
      </c>
      <c r="AX4" s="32" t="s">
        <v>453</v>
      </c>
    </row>
    <row r="5" spans="1:50" customFormat="1" hidden="1">
      <c r="A5" s="32" t="s">
        <v>178</v>
      </c>
      <c r="B5" s="32" t="s">
        <v>90</v>
      </c>
      <c r="C5" s="32" t="s">
        <v>91</v>
      </c>
      <c r="D5" s="33">
        <v>9607.0499999999993</v>
      </c>
      <c r="E5" s="112">
        <v>3371.71</v>
      </c>
      <c r="F5" s="112">
        <v>0</v>
      </c>
      <c r="G5" s="112">
        <v>0</v>
      </c>
      <c r="H5" s="112">
        <v>1596</v>
      </c>
      <c r="I5" s="112">
        <v>239.4</v>
      </c>
      <c r="J5" s="112">
        <v>0</v>
      </c>
      <c r="K5" s="112">
        <v>0</v>
      </c>
      <c r="L5" s="112">
        <v>0</v>
      </c>
      <c r="M5" s="112">
        <v>0</v>
      </c>
      <c r="N5" s="112">
        <v>1835.4</v>
      </c>
      <c r="O5" s="112">
        <v>1596</v>
      </c>
      <c r="P5" s="112">
        <v>0</v>
      </c>
      <c r="Q5" s="112">
        <v>0</v>
      </c>
      <c r="R5" s="112">
        <v>0</v>
      </c>
      <c r="S5" s="112">
        <v>0</v>
      </c>
      <c r="T5" s="32" t="s">
        <v>180</v>
      </c>
      <c r="U5" s="32" t="s">
        <v>92</v>
      </c>
      <c r="V5" s="32" t="s">
        <v>179</v>
      </c>
      <c r="W5" s="32">
        <v>20181231</v>
      </c>
      <c r="X5" s="32">
        <v>20191230</v>
      </c>
      <c r="Y5" s="32"/>
      <c r="Z5" s="32" t="s">
        <v>9</v>
      </c>
      <c r="AA5" s="32" t="s">
        <v>93</v>
      </c>
      <c r="AB5" s="32" t="s">
        <v>94</v>
      </c>
      <c r="AC5" s="32" t="s">
        <v>168</v>
      </c>
      <c r="AD5" s="32">
        <v>2016</v>
      </c>
      <c r="AE5" s="32" t="s">
        <v>96</v>
      </c>
      <c r="AF5" s="32" t="s">
        <v>97</v>
      </c>
      <c r="AG5" s="32" t="s">
        <v>181</v>
      </c>
      <c r="AH5" s="32"/>
      <c r="AI5" s="32" t="s">
        <v>119</v>
      </c>
      <c r="AJ5" s="32" t="s">
        <v>182</v>
      </c>
      <c r="AK5" s="32" t="s">
        <v>183</v>
      </c>
      <c r="AL5" s="32" t="s">
        <v>110</v>
      </c>
      <c r="AM5" s="32" t="s">
        <v>184</v>
      </c>
      <c r="AN5" s="32"/>
      <c r="AO5" s="34">
        <v>43565</v>
      </c>
      <c r="AP5" s="32" t="s">
        <v>111</v>
      </c>
      <c r="AQ5" s="32">
        <v>33</v>
      </c>
      <c r="AS5" s="65">
        <v>43556</v>
      </c>
      <c r="AT5" t="s">
        <v>448</v>
      </c>
      <c r="AU5" t="s">
        <v>449</v>
      </c>
      <c r="AV5" s="99" t="s">
        <v>517</v>
      </c>
      <c r="AW5" t="s">
        <v>542</v>
      </c>
      <c r="AX5" s="32"/>
    </row>
    <row r="6" spans="1:50" customFormat="1">
      <c r="A6" s="32" t="s">
        <v>350</v>
      </c>
      <c r="B6" s="32" t="s">
        <v>90</v>
      </c>
      <c r="C6" s="32" t="s">
        <v>91</v>
      </c>
      <c r="D6" s="33">
        <v>0</v>
      </c>
      <c r="E6" s="112">
        <v>1420.16</v>
      </c>
      <c r="F6" s="112">
        <v>0</v>
      </c>
      <c r="G6" s="112">
        <v>1420.16</v>
      </c>
      <c r="H6" s="112">
        <v>64606.43</v>
      </c>
      <c r="I6" s="112">
        <v>39897.410000000003</v>
      </c>
      <c r="J6" s="112">
        <v>0</v>
      </c>
      <c r="K6" s="112">
        <v>-7755</v>
      </c>
      <c r="L6" s="112">
        <v>0</v>
      </c>
      <c r="M6" s="112">
        <v>6578</v>
      </c>
      <c r="N6" s="112">
        <v>103326.84</v>
      </c>
      <c r="O6" s="112">
        <v>48306.68</v>
      </c>
      <c r="P6" s="112">
        <v>16299.75</v>
      </c>
      <c r="Q6" s="112">
        <v>0</v>
      </c>
      <c r="R6" s="112">
        <v>0</v>
      </c>
      <c r="S6" s="112">
        <v>0</v>
      </c>
      <c r="T6" s="32" t="s">
        <v>352</v>
      </c>
      <c r="U6" s="32" t="s">
        <v>92</v>
      </c>
      <c r="V6" s="32" t="s">
        <v>351</v>
      </c>
      <c r="W6" s="32">
        <v>20181231</v>
      </c>
      <c r="X6" s="32">
        <v>20191230</v>
      </c>
      <c r="Y6" s="32"/>
      <c r="Z6" s="32" t="s">
        <v>9</v>
      </c>
      <c r="AA6" s="32" t="s">
        <v>105</v>
      </c>
      <c r="AB6" s="32" t="s">
        <v>94</v>
      </c>
      <c r="AC6" s="32" t="s">
        <v>98</v>
      </c>
      <c r="AD6" s="32">
        <v>2018</v>
      </c>
      <c r="AE6" s="32" t="s">
        <v>96</v>
      </c>
      <c r="AF6" s="32" t="s">
        <v>289</v>
      </c>
      <c r="AG6" s="32" t="s">
        <v>353</v>
      </c>
      <c r="AH6" s="32" t="s">
        <v>354</v>
      </c>
      <c r="AI6" s="32" t="s">
        <v>108</v>
      </c>
      <c r="AJ6" s="32" t="s">
        <v>242</v>
      </c>
      <c r="AK6" s="32" t="s">
        <v>344</v>
      </c>
      <c r="AL6" s="32" t="s">
        <v>129</v>
      </c>
      <c r="AM6" s="32" t="s">
        <v>355</v>
      </c>
      <c r="AN6" s="32"/>
      <c r="AO6" s="34">
        <v>43577</v>
      </c>
      <c r="AP6" s="32" t="s">
        <v>111</v>
      </c>
      <c r="AQ6" s="32">
        <v>33</v>
      </c>
      <c r="AS6" s="65">
        <v>43556</v>
      </c>
      <c r="AT6" t="s">
        <v>447</v>
      </c>
      <c r="AU6" t="s">
        <v>344</v>
      </c>
      <c r="AV6" s="99" t="s">
        <v>522</v>
      </c>
      <c r="AW6" t="s">
        <v>539</v>
      </c>
      <c r="AX6" s="32" t="s">
        <v>354</v>
      </c>
    </row>
    <row r="7" spans="1:50" customFormat="1" hidden="1">
      <c r="A7" s="32" t="s">
        <v>391</v>
      </c>
      <c r="B7" s="32" t="s">
        <v>90</v>
      </c>
      <c r="C7" s="32" t="s">
        <v>91</v>
      </c>
      <c r="D7" s="33">
        <v>0</v>
      </c>
      <c r="E7" s="112">
        <v>1156.29</v>
      </c>
      <c r="F7" s="112">
        <v>0</v>
      </c>
      <c r="G7" s="112">
        <v>0</v>
      </c>
      <c r="H7" s="112">
        <v>0</v>
      </c>
      <c r="I7" s="112">
        <v>-1305.45</v>
      </c>
      <c r="J7" s="112">
        <v>0</v>
      </c>
      <c r="K7" s="112">
        <v>-15658</v>
      </c>
      <c r="L7" s="112">
        <v>0</v>
      </c>
      <c r="M7" s="112">
        <v>3735</v>
      </c>
      <c r="N7" s="112">
        <v>-13228.45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2" t="s">
        <v>455</v>
      </c>
      <c r="U7" s="32" t="s">
        <v>92</v>
      </c>
      <c r="V7" s="32" t="s">
        <v>392</v>
      </c>
      <c r="W7" s="32">
        <v>20190126</v>
      </c>
      <c r="X7" s="32">
        <v>20191230</v>
      </c>
      <c r="Y7" s="32"/>
      <c r="Z7" s="32" t="s">
        <v>9</v>
      </c>
      <c r="AA7" s="32" t="s">
        <v>93</v>
      </c>
      <c r="AB7" s="32" t="s">
        <v>94</v>
      </c>
      <c r="AC7" s="32" t="s">
        <v>106</v>
      </c>
      <c r="AD7" s="32">
        <v>2019</v>
      </c>
      <c r="AE7" s="32" t="s">
        <v>96</v>
      </c>
      <c r="AF7" s="32" t="s">
        <v>368</v>
      </c>
      <c r="AG7" s="32" t="s">
        <v>456</v>
      </c>
      <c r="AH7" s="32" t="s">
        <v>457</v>
      </c>
      <c r="AI7" s="32" t="s">
        <v>162</v>
      </c>
      <c r="AJ7" s="32" t="s">
        <v>486</v>
      </c>
      <c r="AK7" s="32" t="s">
        <v>120</v>
      </c>
      <c r="AL7" s="32" t="s">
        <v>129</v>
      </c>
      <c r="AM7" s="32" t="s">
        <v>458</v>
      </c>
      <c r="AN7" s="32"/>
      <c r="AO7" s="34">
        <v>43608</v>
      </c>
      <c r="AP7" s="32" t="s">
        <v>111</v>
      </c>
      <c r="AQ7" s="32">
        <v>33</v>
      </c>
      <c r="AS7" s="65">
        <v>43586</v>
      </c>
      <c r="AT7" t="s">
        <v>447</v>
      </c>
      <c r="AU7" t="s">
        <v>444</v>
      </c>
      <c r="AV7" s="99" t="s">
        <v>526</v>
      </c>
      <c r="AW7" t="s">
        <v>540</v>
      </c>
      <c r="AX7" s="32" t="s">
        <v>457</v>
      </c>
    </row>
    <row r="8" spans="1:50" customFormat="1" hidden="1">
      <c r="A8" s="32" t="s">
        <v>330</v>
      </c>
      <c r="B8" s="32" t="s">
        <v>90</v>
      </c>
      <c r="C8" s="32" t="s">
        <v>91</v>
      </c>
      <c r="D8" s="33">
        <v>0</v>
      </c>
      <c r="E8" s="112">
        <v>409.77</v>
      </c>
      <c r="F8" s="112">
        <v>0</v>
      </c>
      <c r="G8" s="112">
        <v>409.77</v>
      </c>
      <c r="H8" s="112">
        <v>0</v>
      </c>
      <c r="I8" s="112">
        <v>338.85</v>
      </c>
      <c r="J8" s="112">
        <v>0</v>
      </c>
      <c r="K8" s="112">
        <v>0</v>
      </c>
      <c r="L8" s="112">
        <v>0</v>
      </c>
      <c r="M8" s="112">
        <v>2258.9699999999998</v>
      </c>
      <c r="N8" s="112">
        <v>2597.8200000000002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32" t="s">
        <v>469</v>
      </c>
      <c r="U8" s="32" t="s">
        <v>92</v>
      </c>
      <c r="V8" s="32" t="s">
        <v>331</v>
      </c>
      <c r="W8" s="32">
        <v>20181231</v>
      </c>
      <c r="X8" s="32">
        <v>20191230</v>
      </c>
      <c r="Y8" s="32"/>
      <c r="Z8" s="32" t="s">
        <v>9</v>
      </c>
      <c r="AA8" s="32" t="s">
        <v>105</v>
      </c>
      <c r="AB8" s="32" t="s">
        <v>94</v>
      </c>
      <c r="AC8" s="32" t="s">
        <v>106</v>
      </c>
      <c r="AD8" s="32">
        <v>2018</v>
      </c>
      <c r="AE8" s="32" t="s">
        <v>96</v>
      </c>
      <c r="AF8" s="32" t="s">
        <v>289</v>
      </c>
      <c r="AG8" s="32" t="s">
        <v>470</v>
      </c>
      <c r="AH8" s="32"/>
      <c r="AI8" s="32" t="s">
        <v>108</v>
      </c>
      <c r="AJ8" s="32" t="s">
        <v>471</v>
      </c>
      <c r="AK8" s="32" t="s">
        <v>472</v>
      </c>
      <c r="AL8" s="32" t="s">
        <v>110</v>
      </c>
      <c r="AM8" s="32" t="s">
        <v>473</v>
      </c>
      <c r="AN8" s="32"/>
      <c r="AO8" s="34">
        <v>43630</v>
      </c>
      <c r="AP8" s="32" t="s">
        <v>111</v>
      </c>
      <c r="AQ8" s="32">
        <v>33</v>
      </c>
      <c r="AS8" s="65">
        <v>43617</v>
      </c>
      <c r="AT8" t="s">
        <v>447</v>
      </c>
      <c r="AU8" t="s">
        <v>519</v>
      </c>
      <c r="AV8" s="99" t="s">
        <v>520</v>
      </c>
      <c r="AW8" t="s">
        <v>488</v>
      </c>
      <c r="AX8" s="32"/>
    </row>
    <row r="9" spans="1:50" customFormat="1" hidden="1">
      <c r="A9" s="32" t="s">
        <v>340</v>
      </c>
      <c r="B9" s="32" t="s">
        <v>90</v>
      </c>
      <c r="C9" s="32" t="s">
        <v>91</v>
      </c>
      <c r="D9" s="33">
        <v>0</v>
      </c>
      <c r="E9" s="112">
        <v>692.8</v>
      </c>
      <c r="F9" s="112">
        <v>0</v>
      </c>
      <c r="G9" s="112">
        <v>692.8</v>
      </c>
      <c r="H9" s="112">
        <v>0</v>
      </c>
      <c r="I9" s="112">
        <v>2794.35</v>
      </c>
      <c r="J9" s="112">
        <v>0</v>
      </c>
      <c r="K9" s="112">
        <v>0</v>
      </c>
      <c r="L9" s="112">
        <v>0</v>
      </c>
      <c r="M9" s="112">
        <v>18629</v>
      </c>
      <c r="N9" s="112">
        <v>21423.35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32" t="s">
        <v>467</v>
      </c>
      <c r="U9" s="32" t="s">
        <v>92</v>
      </c>
      <c r="V9" s="32" t="s">
        <v>341</v>
      </c>
      <c r="W9" s="32">
        <v>20181231</v>
      </c>
      <c r="X9" s="32">
        <v>20191230</v>
      </c>
      <c r="Y9" s="32"/>
      <c r="Z9" s="32" t="s">
        <v>9</v>
      </c>
      <c r="AA9" s="32" t="s">
        <v>105</v>
      </c>
      <c r="AB9" s="32" t="s">
        <v>94</v>
      </c>
      <c r="AC9" s="32" t="s">
        <v>219</v>
      </c>
      <c r="AD9" s="32">
        <v>2018</v>
      </c>
      <c r="AE9" s="32" t="s">
        <v>96</v>
      </c>
      <c r="AF9" s="32" t="s">
        <v>289</v>
      </c>
      <c r="AG9" s="32" t="s">
        <v>474</v>
      </c>
      <c r="AH9" s="32" t="s">
        <v>475</v>
      </c>
      <c r="AI9" s="32" t="s">
        <v>108</v>
      </c>
      <c r="AJ9" s="32" t="s">
        <v>476</v>
      </c>
      <c r="AK9" s="32" t="s">
        <v>220</v>
      </c>
      <c r="AL9" s="32" t="s">
        <v>129</v>
      </c>
      <c r="AM9" s="32" t="s">
        <v>477</v>
      </c>
      <c r="AN9" s="32"/>
      <c r="AO9" s="34">
        <v>43640</v>
      </c>
      <c r="AP9" s="32" t="s">
        <v>111</v>
      </c>
      <c r="AQ9" s="32">
        <v>33</v>
      </c>
      <c r="AS9" s="65">
        <v>43617</v>
      </c>
      <c r="AT9" t="s">
        <v>447</v>
      </c>
      <c r="AU9" t="s">
        <v>220</v>
      </c>
      <c r="AV9" s="99" t="s">
        <v>521</v>
      </c>
      <c r="AW9" t="s">
        <v>541</v>
      </c>
      <c r="AX9" s="32" t="s">
        <v>475</v>
      </c>
    </row>
    <row r="10" spans="1:50" customFormat="1" hidden="1">
      <c r="A10" s="32" t="s">
        <v>360</v>
      </c>
      <c r="B10" s="32" t="s">
        <v>90</v>
      </c>
      <c r="C10" s="32" t="s">
        <v>91</v>
      </c>
      <c r="D10" s="33">
        <v>0</v>
      </c>
      <c r="E10" s="112">
        <v>409.77</v>
      </c>
      <c r="F10" s="112">
        <v>0</v>
      </c>
      <c r="G10" s="112">
        <v>409.77</v>
      </c>
      <c r="H10" s="112">
        <v>0</v>
      </c>
      <c r="I10" s="112">
        <v>1256.6099999999999</v>
      </c>
      <c r="J10" s="112">
        <v>0</v>
      </c>
      <c r="K10" s="112">
        <v>-15658</v>
      </c>
      <c r="L10" s="112">
        <v>0</v>
      </c>
      <c r="M10" s="112">
        <v>24035.37</v>
      </c>
      <c r="N10" s="112">
        <v>9633.98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32" t="s">
        <v>465</v>
      </c>
      <c r="U10" s="32" t="s">
        <v>92</v>
      </c>
      <c r="V10" s="32" t="s">
        <v>361</v>
      </c>
      <c r="W10" s="32">
        <v>20181231</v>
      </c>
      <c r="X10" s="32">
        <v>20191230</v>
      </c>
      <c r="Y10" s="32"/>
      <c r="Z10" s="32" t="s">
        <v>9</v>
      </c>
      <c r="AA10" s="32" t="s">
        <v>105</v>
      </c>
      <c r="AB10" s="32" t="s">
        <v>94</v>
      </c>
      <c r="AC10" s="32" t="s">
        <v>106</v>
      </c>
      <c r="AD10" s="32">
        <v>2018</v>
      </c>
      <c r="AE10" s="32" t="s">
        <v>96</v>
      </c>
      <c r="AF10" s="32" t="s">
        <v>289</v>
      </c>
      <c r="AG10" s="32" t="s">
        <v>478</v>
      </c>
      <c r="AH10" s="32"/>
      <c r="AI10" s="32" t="s">
        <v>162</v>
      </c>
      <c r="AJ10" s="32" t="s">
        <v>197</v>
      </c>
      <c r="AK10" s="32" t="s">
        <v>183</v>
      </c>
      <c r="AL10" s="32" t="s">
        <v>129</v>
      </c>
      <c r="AM10" s="32" t="s">
        <v>479</v>
      </c>
      <c r="AN10" s="32"/>
      <c r="AO10" s="34">
        <v>43634</v>
      </c>
      <c r="AP10" s="32" t="s">
        <v>111</v>
      </c>
      <c r="AQ10" s="32">
        <v>33</v>
      </c>
      <c r="AS10" s="65">
        <v>43617</v>
      </c>
      <c r="AT10" t="s">
        <v>448</v>
      </c>
      <c r="AU10" t="s">
        <v>449</v>
      </c>
      <c r="AV10" s="99" t="s">
        <v>524</v>
      </c>
      <c r="AW10" t="s">
        <v>542</v>
      </c>
      <c r="AX10" s="32"/>
    </row>
    <row r="11" spans="1:50" customFormat="1" hidden="1">
      <c r="A11" s="32" t="s">
        <v>271</v>
      </c>
      <c r="B11" s="32" t="s">
        <v>90</v>
      </c>
      <c r="C11" s="32" t="s">
        <v>91</v>
      </c>
      <c r="D11" s="33">
        <v>0</v>
      </c>
      <c r="E11" s="112">
        <v>393.87</v>
      </c>
      <c r="F11" s="112">
        <v>0</v>
      </c>
      <c r="G11" s="112">
        <v>393.87</v>
      </c>
      <c r="H11" s="112">
        <v>0</v>
      </c>
      <c r="I11" s="112">
        <v>17698.5</v>
      </c>
      <c r="J11" s="112">
        <v>0</v>
      </c>
      <c r="K11" s="112">
        <v>0</v>
      </c>
      <c r="L11" s="112">
        <v>0</v>
      </c>
      <c r="M11" s="112">
        <v>117990</v>
      </c>
      <c r="N11" s="112">
        <v>135688.5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32" t="s">
        <v>499</v>
      </c>
      <c r="U11" s="32" t="s">
        <v>92</v>
      </c>
      <c r="V11" s="32" t="s">
        <v>272</v>
      </c>
      <c r="W11" s="32">
        <v>20181231</v>
      </c>
      <c r="X11" s="32">
        <v>20191230</v>
      </c>
      <c r="Y11" s="32"/>
      <c r="Z11" s="32" t="s">
        <v>9</v>
      </c>
      <c r="AA11" s="32" t="s">
        <v>105</v>
      </c>
      <c r="AB11" s="32" t="s">
        <v>94</v>
      </c>
      <c r="AC11" s="32" t="s">
        <v>106</v>
      </c>
      <c r="AD11" s="32">
        <v>2017</v>
      </c>
      <c r="AE11" s="32" t="s">
        <v>96</v>
      </c>
      <c r="AF11" s="32" t="s">
        <v>97</v>
      </c>
      <c r="AG11" s="32" t="s">
        <v>500</v>
      </c>
      <c r="AH11" s="32" t="s">
        <v>433</v>
      </c>
      <c r="AI11" s="32" t="s">
        <v>162</v>
      </c>
      <c r="AJ11" s="32" t="s">
        <v>501</v>
      </c>
      <c r="AK11" s="32" t="s">
        <v>237</v>
      </c>
      <c r="AL11" s="32" t="s">
        <v>501</v>
      </c>
      <c r="AM11" s="32" t="s">
        <v>502</v>
      </c>
      <c r="AN11" s="32"/>
      <c r="AO11" s="34">
        <v>43670</v>
      </c>
      <c r="AP11" s="32" t="s">
        <v>503</v>
      </c>
      <c r="AQ11" s="32">
        <v>33</v>
      </c>
      <c r="AS11" s="65">
        <v>43647</v>
      </c>
      <c r="AT11" t="s">
        <v>447</v>
      </c>
      <c r="AU11" t="s">
        <v>237</v>
      </c>
      <c r="AV11" s="99" t="s">
        <v>533</v>
      </c>
      <c r="AW11" s="32" t="s">
        <v>488</v>
      </c>
      <c r="AX11" s="32" t="s">
        <v>433</v>
      </c>
    </row>
    <row r="12" spans="1:50" customFormat="1" hidden="1">
      <c r="A12" s="32" t="s">
        <v>393</v>
      </c>
      <c r="B12" s="32" t="s">
        <v>90</v>
      </c>
      <c r="C12" s="32" t="s">
        <v>91</v>
      </c>
      <c r="D12" s="33">
        <v>0</v>
      </c>
      <c r="E12" s="112">
        <v>587.62</v>
      </c>
      <c r="F12" s="112">
        <v>0</v>
      </c>
      <c r="G12" s="112">
        <v>0</v>
      </c>
      <c r="H12" s="112">
        <v>18217</v>
      </c>
      <c r="I12" s="112">
        <v>2732.55</v>
      </c>
      <c r="J12" s="112">
        <v>0</v>
      </c>
      <c r="K12" s="112">
        <v>0</v>
      </c>
      <c r="L12" s="112">
        <v>0</v>
      </c>
      <c r="M12" s="112">
        <v>0</v>
      </c>
      <c r="N12" s="112">
        <v>20949.55</v>
      </c>
      <c r="O12" s="112">
        <v>0</v>
      </c>
      <c r="P12" s="112">
        <v>0</v>
      </c>
      <c r="Q12" s="112">
        <v>0</v>
      </c>
      <c r="R12" s="112">
        <v>18217</v>
      </c>
      <c r="S12" s="112">
        <v>0</v>
      </c>
      <c r="T12" s="32" t="s">
        <v>504</v>
      </c>
      <c r="U12" s="32" t="s">
        <v>92</v>
      </c>
      <c r="V12" s="32" t="s">
        <v>394</v>
      </c>
      <c r="W12" s="32">
        <v>20190126</v>
      </c>
      <c r="X12" s="32">
        <v>20191230</v>
      </c>
      <c r="Y12" s="32"/>
      <c r="Z12" s="32" t="s">
        <v>9</v>
      </c>
      <c r="AA12" s="32" t="s">
        <v>93</v>
      </c>
      <c r="AB12" s="32" t="s">
        <v>94</v>
      </c>
      <c r="AC12" s="32" t="s">
        <v>106</v>
      </c>
      <c r="AD12" s="32">
        <v>2019</v>
      </c>
      <c r="AE12" s="32" t="s">
        <v>96</v>
      </c>
      <c r="AF12" s="32" t="s">
        <v>368</v>
      </c>
      <c r="AG12" s="32" t="s">
        <v>511</v>
      </c>
      <c r="AH12" s="32" t="s">
        <v>512</v>
      </c>
      <c r="AI12" s="32" t="s">
        <v>119</v>
      </c>
      <c r="AJ12" s="32" t="s">
        <v>395</v>
      </c>
      <c r="AK12" s="32" t="s">
        <v>109</v>
      </c>
      <c r="AL12" s="32" t="s">
        <v>129</v>
      </c>
      <c r="AM12" s="32" t="s">
        <v>513</v>
      </c>
      <c r="AN12" s="32"/>
      <c r="AO12" s="34">
        <v>43668</v>
      </c>
      <c r="AP12" s="32" t="s">
        <v>111</v>
      </c>
      <c r="AQ12" s="32">
        <v>33</v>
      </c>
      <c r="AS12" s="65">
        <v>43647</v>
      </c>
      <c r="AT12" t="s">
        <v>447</v>
      </c>
      <c r="AU12" t="s">
        <v>444</v>
      </c>
      <c r="AV12" s="99" t="s">
        <v>535</v>
      </c>
      <c r="AW12" t="s">
        <v>534</v>
      </c>
      <c r="AX12" s="32" t="s">
        <v>512</v>
      </c>
    </row>
    <row r="13" spans="1:50" customFormat="1" hidden="1">
      <c r="A13" s="32" t="s">
        <v>398</v>
      </c>
      <c r="B13" s="32" t="s">
        <v>90</v>
      </c>
      <c r="C13" s="32" t="s">
        <v>91</v>
      </c>
      <c r="D13" s="33">
        <v>0</v>
      </c>
      <c r="E13" s="112">
        <v>587.80999999999995</v>
      </c>
      <c r="F13" s="112">
        <v>0</v>
      </c>
      <c r="G13" s="112">
        <v>0</v>
      </c>
      <c r="H13" s="112">
        <v>0</v>
      </c>
      <c r="I13" s="112">
        <v>986.7</v>
      </c>
      <c r="J13" s="112">
        <v>0</v>
      </c>
      <c r="K13" s="112">
        <v>0</v>
      </c>
      <c r="L13" s="112">
        <v>0</v>
      </c>
      <c r="M13" s="112">
        <v>6578</v>
      </c>
      <c r="N13" s="112">
        <v>7564.7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32" t="s">
        <v>506</v>
      </c>
      <c r="U13" s="32" t="s">
        <v>92</v>
      </c>
      <c r="V13" s="32" t="s">
        <v>399</v>
      </c>
      <c r="W13" s="32">
        <v>20190227</v>
      </c>
      <c r="X13" s="32">
        <v>20191230</v>
      </c>
      <c r="Y13" s="32"/>
      <c r="Z13" s="32" t="s">
        <v>9</v>
      </c>
      <c r="AA13" s="32" t="s">
        <v>93</v>
      </c>
      <c r="AB13" s="32" t="s">
        <v>94</v>
      </c>
      <c r="AC13" s="32" t="s">
        <v>106</v>
      </c>
      <c r="AD13" s="32">
        <v>2019</v>
      </c>
      <c r="AE13" s="32" t="s">
        <v>96</v>
      </c>
      <c r="AF13" s="32" t="s">
        <v>368</v>
      </c>
      <c r="AG13" s="32" t="s">
        <v>514</v>
      </c>
      <c r="AH13" s="32"/>
      <c r="AI13" s="32" t="s">
        <v>108</v>
      </c>
      <c r="AJ13" s="32" t="s">
        <v>515</v>
      </c>
      <c r="AK13" s="32" t="s">
        <v>109</v>
      </c>
      <c r="AL13" s="32" t="s">
        <v>129</v>
      </c>
      <c r="AM13" s="32" t="s">
        <v>516</v>
      </c>
      <c r="AN13" s="32"/>
      <c r="AO13" s="34">
        <v>43647</v>
      </c>
      <c r="AP13" s="32" t="s">
        <v>111</v>
      </c>
      <c r="AQ13" s="32">
        <v>33</v>
      </c>
      <c r="AS13" s="65">
        <v>43647</v>
      </c>
      <c r="AT13" t="s">
        <v>448</v>
      </c>
      <c r="AU13" t="s">
        <v>444</v>
      </c>
      <c r="AV13" s="99" t="s">
        <v>537</v>
      </c>
      <c r="AW13" t="s">
        <v>536</v>
      </c>
      <c r="AX13" s="32"/>
    </row>
    <row r="14" spans="1:50" ht="15" hidden="1">
      <c r="A14" s="116" t="s">
        <v>919</v>
      </c>
      <c r="B14" s="116" t="s">
        <v>90</v>
      </c>
      <c r="C14" s="116" t="s">
        <v>91</v>
      </c>
      <c r="D14" s="117">
        <v>0</v>
      </c>
      <c r="E14" s="118">
        <v>1255.29</v>
      </c>
      <c r="F14" s="118">
        <v>0</v>
      </c>
      <c r="G14" s="118">
        <v>0</v>
      </c>
      <c r="H14" s="118">
        <v>0</v>
      </c>
      <c r="I14" s="118">
        <v>-1788.45</v>
      </c>
      <c r="J14" s="118">
        <v>0</v>
      </c>
      <c r="K14" s="118">
        <v>-15658</v>
      </c>
      <c r="L14" s="118">
        <v>0</v>
      </c>
      <c r="M14" s="118">
        <v>3735</v>
      </c>
      <c r="N14" s="118">
        <v>-13711.45</v>
      </c>
      <c r="O14" s="119">
        <v>0</v>
      </c>
      <c r="P14" s="119">
        <v>0</v>
      </c>
      <c r="Q14" s="119">
        <v>0</v>
      </c>
      <c r="R14" s="119">
        <v>0</v>
      </c>
      <c r="S14" s="119">
        <v>0</v>
      </c>
      <c r="T14" s="116" t="s">
        <v>920</v>
      </c>
      <c r="U14" s="116" t="s">
        <v>92</v>
      </c>
      <c r="V14" s="116" t="s">
        <v>921</v>
      </c>
      <c r="W14" s="116">
        <v>20171231</v>
      </c>
      <c r="X14" s="116">
        <v>20181230</v>
      </c>
      <c r="Y14" s="116"/>
      <c r="Z14" s="116" t="s">
        <v>922</v>
      </c>
      <c r="AA14" s="116" t="s">
        <v>93</v>
      </c>
      <c r="AB14" s="116" t="s">
        <v>923</v>
      </c>
      <c r="AC14" s="116" t="s">
        <v>106</v>
      </c>
      <c r="AD14" s="116">
        <v>2014</v>
      </c>
      <c r="AE14" s="116" t="s">
        <v>96</v>
      </c>
      <c r="AF14" s="116" t="s">
        <v>924</v>
      </c>
      <c r="AG14" s="116" t="s">
        <v>943</v>
      </c>
      <c r="AH14" s="116" t="s">
        <v>944</v>
      </c>
      <c r="AI14" s="116" t="s">
        <v>119</v>
      </c>
      <c r="AJ14" s="116" t="s">
        <v>945</v>
      </c>
      <c r="AK14" s="116" t="s">
        <v>551</v>
      </c>
      <c r="AL14" s="116" t="s">
        <v>129</v>
      </c>
      <c r="AM14" s="116" t="s">
        <v>552</v>
      </c>
      <c r="AN14" s="116" t="s">
        <v>553</v>
      </c>
      <c r="AO14" s="120">
        <v>43124</v>
      </c>
      <c r="AP14" s="116" t="s">
        <v>111</v>
      </c>
      <c r="AQ14" s="116">
        <v>33</v>
      </c>
      <c r="AR14" s="121" t="s">
        <v>554</v>
      </c>
      <c r="AS14" s="122">
        <v>43101</v>
      </c>
      <c r="AT14" s="123"/>
      <c r="AU14" s="116"/>
      <c r="AV14" s="124"/>
      <c r="AW14" s="123"/>
      <c r="AX14" s="116" t="s">
        <v>944</v>
      </c>
    </row>
    <row r="15" spans="1:50" ht="15" hidden="1">
      <c r="A15" s="116" t="s">
        <v>928</v>
      </c>
      <c r="B15" s="116" t="s">
        <v>90</v>
      </c>
      <c r="C15" s="116" t="s">
        <v>91</v>
      </c>
      <c r="D15" s="117">
        <v>-2458.75</v>
      </c>
      <c r="E15" s="118">
        <v>-325.5</v>
      </c>
      <c r="F15" s="118">
        <v>0</v>
      </c>
      <c r="G15" s="118">
        <v>0</v>
      </c>
      <c r="H15" s="118">
        <v>0</v>
      </c>
      <c r="I15" s="118">
        <v>-1788.45</v>
      </c>
      <c r="J15" s="118">
        <v>0</v>
      </c>
      <c r="K15" s="118">
        <v>-15658</v>
      </c>
      <c r="L15" s="118">
        <v>0</v>
      </c>
      <c r="M15" s="118">
        <v>3735</v>
      </c>
      <c r="N15" s="118">
        <v>-13711.45</v>
      </c>
      <c r="O15" s="119">
        <v>0</v>
      </c>
      <c r="P15" s="119">
        <v>0</v>
      </c>
      <c r="Q15" s="119">
        <v>0</v>
      </c>
      <c r="R15" s="119">
        <v>0</v>
      </c>
      <c r="S15" s="119">
        <v>0</v>
      </c>
      <c r="T15" s="116" t="s">
        <v>929</v>
      </c>
      <c r="U15" s="116" t="s">
        <v>92</v>
      </c>
      <c r="V15" s="116" t="s">
        <v>930</v>
      </c>
      <c r="W15" s="116">
        <v>20171231</v>
      </c>
      <c r="X15" s="116">
        <v>20181230</v>
      </c>
      <c r="Y15" s="116"/>
      <c r="Z15" s="116" t="s">
        <v>922</v>
      </c>
      <c r="AA15" s="116" t="s">
        <v>105</v>
      </c>
      <c r="AB15" s="116" t="s">
        <v>923</v>
      </c>
      <c r="AC15" s="116" t="s">
        <v>114</v>
      </c>
      <c r="AD15" s="116">
        <v>2017</v>
      </c>
      <c r="AE15" s="116" t="s">
        <v>96</v>
      </c>
      <c r="AF15" s="116" t="s">
        <v>954</v>
      </c>
      <c r="AG15" s="116" t="s">
        <v>1375</v>
      </c>
      <c r="AH15" s="116"/>
      <c r="AI15" s="116" t="s">
        <v>162</v>
      </c>
      <c r="AJ15" s="116" t="s">
        <v>797</v>
      </c>
      <c r="AK15" s="116" t="s">
        <v>114</v>
      </c>
      <c r="AL15" s="116" t="s">
        <v>129</v>
      </c>
      <c r="AM15" s="116" t="s">
        <v>715</v>
      </c>
      <c r="AN15" s="116" t="s">
        <v>716</v>
      </c>
      <c r="AO15" s="120">
        <v>43103</v>
      </c>
      <c r="AP15" s="116" t="s">
        <v>111</v>
      </c>
      <c r="AQ15" s="116">
        <v>33</v>
      </c>
      <c r="AR15" s="125"/>
      <c r="AS15" s="122">
        <v>43101</v>
      </c>
      <c r="AT15" s="123"/>
      <c r="AU15" s="116"/>
      <c r="AV15" s="124"/>
      <c r="AW15" s="123"/>
      <c r="AX15" s="116"/>
    </row>
    <row r="16" spans="1:50" ht="15" hidden="1">
      <c r="A16" s="116" t="s">
        <v>934</v>
      </c>
      <c r="B16" s="116" t="s">
        <v>90</v>
      </c>
      <c r="C16" s="116" t="s">
        <v>91</v>
      </c>
      <c r="D16" s="117">
        <v>0</v>
      </c>
      <c r="E16" s="118">
        <v>545.92999999999995</v>
      </c>
      <c r="F16" s="118">
        <v>0</v>
      </c>
      <c r="G16" s="118">
        <v>0</v>
      </c>
      <c r="H16" s="118">
        <v>0</v>
      </c>
      <c r="I16" s="118">
        <v>3450</v>
      </c>
      <c r="J16" s="118">
        <v>0</v>
      </c>
      <c r="K16" s="118">
        <v>0</v>
      </c>
      <c r="L16" s="118">
        <v>0</v>
      </c>
      <c r="M16" s="118">
        <v>0</v>
      </c>
      <c r="N16" s="118">
        <v>3450</v>
      </c>
      <c r="O16" s="119">
        <v>0</v>
      </c>
      <c r="P16" s="119">
        <v>0</v>
      </c>
      <c r="Q16" s="119">
        <v>0</v>
      </c>
      <c r="R16" s="119">
        <v>0</v>
      </c>
      <c r="S16" s="119">
        <v>0</v>
      </c>
      <c r="T16" s="116" t="s">
        <v>935</v>
      </c>
      <c r="U16" s="116" t="s">
        <v>92</v>
      </c>
      <c r="V16" s="116" t="s">
        <v>936</v>
      </c>
      <c r="W16" s="116">
        <v>20171231</v>
      </c>
      <c r="X16" s="116">
        <v>20181230</v>
      </c>
      <c r="Y16" s="116"/>
      <c r="Z16" s="116" t="s">
        <v>922</v>
      </c>
      <c r="AA16" s="116" t="s">
        <v>105</v>
      </c>
      <c r="AB16" s="116" t="s">
        <v>1732</v>
      </c>
      <c r="AC16" s="116" t="s">
        <v>106</v>
      </c>
      <c r="AD16" s="116">
        <v>2013</v>
      </c>
      <c r="AE16" s="116" t="s">
        <v>381</v>
      </c>
      <c r="AF16" s="116" t="s">
        <v>1733</v>
      </c>
      <c r="AG16" s="116" t="s">
        <v>1742</v>
      </c>
      <c r="AH16" s="116"/>
      <c r="AI16" s="116" t="s">
        <v>119</v>
      </c>
      <c r="AJ16" s="116" t="s">
        <v>1743</v>
      </c>
      <c r="AK16" s="116" t="s">
        <v>106</v>
      </c>
      <c r="AL16" s="116" t="s">
        <v>129</v>
      </c>
      <c r="AM16" s="116" t="s">
        <v>510</v>
      </c>
      <c r="AN16" s="116" t="s">
        <v>838</v>
      </c>
      <c r="AO16" s="120">
        <v>43104</v>
      </c>
      <c r="AP16" s="116" t="s">
        <v>111</v>
      </c>
      <c r="AQ16" s="116">
        <v>33</v>
      </c>
      <c r="AR16" s="125"/>
      <c r="AS16" s="122">
        <v>43101</v>
      </c>
      <c r="AT16" s="123"/>
      <c r="AU16" s="116"/>
      <c r="AV16" s="124"/>
      <c r="AW16" s="123"/>
      <c r="AX16" s="116"/>
    </row>
    <row r="17" spans="1:50" ht="15" hidden="1">
      <c r="A17" s="116" t="s">
        <v>940</v>
      </c>
      <c r="B17" s="116" t="s">
        <v>90</v>
      </c>
      <c r="C17" s="116" t="s">
        <v>91</v>
      </c>
      <c r="D17" s="117">
        <v>6410.33</v>
      </c>
      <c r="E17" s="118">
        <v>1039.04</v>
      </c>
      <c r="F17" s="118">
        <v>6410.33</v>
      </c>
      <c r="G17" s="118">
        <v>6410.33</v>
      </c>
      <c r="H17" s="118">
        <v>15658</v>
      </c>
      <c r="I17" s="118">
        <v>2348.6999999999998</v>
      </c>
      <c r="J17" s="118">
        <v>0</v>
      </c>
      <c r="K17" s="118">
        <v>0</v>
      </c>
      <c r="L17" s="118">
        <v>0</v>
      </c>
      <c r="M17" s="118">
        <v>0</v>
      </c>
      <c r="N17" s="118">
        <v>18006.7</v>
      </c>
      <c r="O17" s="119">
        <v>0</v>
      </c>
      <c r="P17" s="119">
        <v>0</v>
      </c>
      <c r="Q17" s="119">
        <v>0</v>
      </c>
      <c r="R17" s="119">
        <v>15658</v>
      </c>
      <c r="S17" s="119">
        <v>0</v>
      </c>
      <c r="T17" s="116" t="s">
        <v>941</v>
      </c>
      <c r="U17" s="116" t="s">
        <v>92</v>
      </c>
      <c r="V17" s="116" t="s">
        <v>942</v>
      </c>
      <c r="W17" s="116">
        <v>20171231</v>
      </c>
      <c r="X17" s="116">
        <v>20181230</v>
      </c>
      <c r="Y17" s="116"/>
      <c r="Z17" s="116" t="s">
        <v>922</v>
      </c>
      <c r="AA17" s="116" t="s">
        <v>105</v>
      </c>
      <c r="AB17" s="116" t="s">
        <v>923</v>
      </c>
      <c r="AC17" s="116" t="s">
        <v>128</v>
      </c>
      <c r="AD17" s="116">
        <v>2016</v>
      </c>
      <c r="AE17" s="116" t="s">
        <v>96</v>
      </c>
      <c r="AF17" s="116" t="s">
        <v>954</v>
      </c>
      <c r="AG17" s="116" t="s">
        <v>1118</v>
      </c>
      <c r="AH17" s="116"/>
      <c r="AI17" s="116" t="s">
        <v>162</v>
      </c>
      <c r="AJ17" s="116" t="s">
        <v>1119</v>
      </c>
      <c r="AK17" s="116" t="s">
        <v>128</v>
      </c>
      <c r="AL17" s="116" t="s">
        <v>129</v>
      </c>
      <c r="AM17" s="116" t="s">
        <v>614</v>
      </c>
      <c r="AN17" s="116" t="s">
        <v>615</v>
      </c>
      <c r="AO17" s="120">
        <v>43105</v>
      </c>
      <c r="AP17" s="116" t="s">
        <v>111</v>
      </c>
      <c r="AQ17" s="116">
        <v>33</v>
      </c>
      <c r="AR17" s="125"/>
      <c r="AS17" s="122">
        <v>43101</v>
      </c>
      <c r="AT17" s="123"/>
      <c r="AU17" s="116"/>
      <c r="AV17" s="124"/>
      <c r="AW17" s="123"/>
      <c r="AX17" s="116"/>
    </row>
    <row r="18" spans="1:50" ht="15" hidden="1">
      <c r="A18" s="116" t="s">
        <v>946</v>
      </c>
      <c r="B18" s="116" t="s">
        <v>90</v>
      </c>
      <c r="C18" s="116" t="s">
        <v>91</v>
      </c>
      <c r="D18" s="117">
        <v>0</v>
      </c>
      <c r="E18" s="118">
        <v>2253.4299999999998</v>
      </c>
      <c r="F18" s="118">
        <v>4531.72</v>
      </c>
      <c r="G18" s="118">
        <v>4531.72</v>
      </c>
      <c r="H18" s="118">
        <v>2482</v>
      </c>
      <c r="I18" s="118">
        <v>22481.48</v>
      </c>
      <c r="J18" s="118">
        <v>0</v>
      </c>
      <c r="K18" s="118">
        <v>0</v>
      </c>
      <c r="L18" s="118">
        <v>0</v>
      </c>
      <c r="M18" s="118">
        <v>27004.85</v>
      </c>
      <c r="N18" s="118">
        <v>51968.33</v>
      </c>
      <c r="O18" s="119">
        <v>2482</v>
      </c>
      <c r="P18" s="119">
        <v>0</v>
      </c>
      <c r="Q18" s="119">
        <v>0</v>
      </c>
      <c r="R18" s="119">
        <v>0</v>
      </c>
      <c r="S18" s="119">
        <v>0</v>
      </c>
      <c r="T18" s="116" t="s">
        <v>947</v>
      </c>
      <c r="U18" s="116" t="s">
        <v>92</v>
      </c>
      <c r="V18" s="116" t="s">
        <v>948</v>
      </c>
      <c r="W18" s="116">
        <v>20171231</v>
      </c>
      <c r="X18" s="116">
        <v>20181230</v>
      </c>
      <c r="Y18" s="116"/>
      <c r="Z18" s="116" t="s">
        <v>922</v>
      </c>
      <c r="AA18" s="116" t="s">
        <v>105</v>
      </c>
      <c r="AB18" s="116" t="s">
        <v>923</v>
      </c>
      <c r="AC18" s="116" t="s">
        <v>114</v>
      </c>
      <c r="AD18" s="116">
        <v>2017</v>
      </c>
      <c r="AE18" s="116" t="s">
        <v>96</v>
      </c>
      <c r="AF18" s="116" t="s">
        <v>954</v>
      </c>
      <c r="AG18" s="116" t="s">
        <v>1605</v>
      </c>
      <c r="AH18" s="116"/>
      <c r="AI18" s="116" t="s">
        <v>119</v>
      </c>
      <c r="AJ18" s="116" t="s">
        <v>1606</v>
      </c>
      <c r="AK18" s="116" t="s">
        <v>114</v>
      </c>
      <c r="AL18" s="116" t="s">
        <v>129</v>
      </c>
      <c r="AM18" s="116" t="s">
        <v>788</v>
      </c>
      <c r="AN18" s="116" t="s">
        <v>716</v>
      </c>
      <c r="AO18" s="120">
        <v>43105</v>
      </c>
      <c r="AP18" s="116" t="s">
        <v>111</v>
      </c>
      <c r="AQ18" s="116">
        <v>33</v>
      </c>
      <c r="AR18" s="125"/>
      <c r="AS18" s="122">
        <v>43101</v>
      </c>
      <c r="AT18" s="123"/>
      <c r="AU18" s="116"/>
      <c r="AV18" s="124"/>
      <c r="AW18" s="123"/>
      <c r="AX18" s="116"/>
    </row>
    <row r="19" spans="1:50" ht="15" hidden="1">
      <c r="A19" s="116" t="s">
        <v>952</v>
      </c>
      <c r="B19" s="116" t="s">
        <v>90</v>
      </c>
      <c r="C19" s="116" t="s">
        <v>91</v>
      </c>
      <c r="D19" s="117">
        <v>0</v>
      </c>
      <c r="E19" s="118">
        <v>1360.03</v>
      </c>
      <c r="F19" s="118">
        <v>0</v>
      </c>
      <c r="G19" s="118">
        <v>0</v>
      </c>
      <c r="H19" s="118">
        <v>86729.37</v>
      </c>
      <c r="I19" s="118">
        <v>9888.2099999999991</v>
      </c>
      <c r="J19" s="118">
        <v>0</v>
      </c>
      <c r="K19" s="118">
        <v>-20808</v>
      </c>
      <c r="L19" s="118">
        <v>0</v>
      </c>
      <c r="M19" s="118">
        <v>0</v>
      </c>
      <c r="N19" s="118">
        <v>75809.58</v>
      </c>
      <c r="O19" s="119">
        <v>81579.37</v>
      </c>
      <c r="P19" s="119">
        <v>5150</v>
      </c>
      <c r="Q19" s="119">
        <v>0</v>
      </c>
      <c r="R19" s="119">
        <v>0</v>
      </c>
      <c r="S19" s="119">
        <v>0</v>
      </c>
      <c r="T19" s="116" t="s">
        <v>953</v>
      </c>
      <c r="U19" s="116" t="s">
        <v>92</v>
      </c>
      <c r="V19" s="116" t="s">
        <v>100</v>
      </c>
      <c r="W19" s="116">
        <v>20171231</v>
      </c>
      <c r="X19" s="116">
        <v>20181230</v>
      </c>
      <c r="Y19" s="116"/>
      <c r="Z19" s="116" t="s">
        <v>922</v>
      </c>
      <c r="AA19" s="116" t="s">
        <v>105</v>
      </c>
      <c r="AB19" s="116" t="s">
        <v>923</v>
      </c>
      <c r="AC19" s="116" t="s">
        <v>106</v>
      </c>
      <c r="AD19" s="116">
        <v>2016</v>
      </c>
      <c r="AE19" s="116" t="s">
        <v>96</v>
      </c>
      <c r="AF19" s="116" t="s">
        <v>954</v>
      </c>
      <c r="AG19" s="116" t="s">
        <v>1129</v>
      </c>
      <c r="AH19" s="116"/>
      <c r="AI19" s="116" t="s">
        <v>119</v>
      </c>
      <c r="AJ19" s="116" t="s">
        <v>1130</v>
      </c>
      <c r="AK19" s="116" t="s">
        <v>106</v>
      </c>
      <c r="AL19" s="116" t="s">
        <v>129</v>
      </c>
      <c r="AM19" s="116" t="s">
        <v>619</v>
      </c>
      <c r="AN19" s="116" t="s">
        <v>620</v>
      </c>
      <c r="AO19" s="120">
        <v>43106</v>
      </c>
      <c r="AP19" s="116" t="s">
        <v>111</v>
      </c>
      <c r="AQ19" s="116">
        <v>33</v>
      </c>
      <c r="AR19" s="125"/>
      <c r="AS19" s="122">
        <v>43101</v>
      </c>
      <c r="AT19" s="123"/>
      <c r="AU19" s="116"/>
      <c r="AV19" s="124"/>
      <c r="AW19" s="123"/>
      <c r="AX19" s="116"/>
    </row>
    <row r="20" spans="1:50" ht="15" hidden="1">
      <c r="A20" s="116" t="s">
        <v>958</v>
      </c>
      <c r="B20" s="116" t="s">
        <v>90</v>
      </c>
      <c r="C20" s="116" t="s">
        <v>91</v>
      </c>
      <c r="D20" s="117">
        <v>0</v>
      </c>
      <c r="E20" s="118">
        <v>1996.29</v>
      </c>
      <c r="F20" s="118">
        <v>0</v>
      </c>
      <c r="G20" s="118">
        <v>0</v>
      </c>
      <c r="H20" s="118">
        <v>53365.07</v>
      </c>
      <c r="I20" s="118">
        <v>8637.26</v>
      </c>
      <c r="J20" s="118">
        <v>0</v>
      </c>
      <c r="K20" s="118">
        <v>0</v>
      </c>
      <c r="L20" s="118">
        <v>0</v>
      </c>
      <c r="M20" s="118">
        <v>0</v>
      </c>
      <c r="N20" s="118">
        <v>62002.33</v>
      </c>
      <c r="O20" s="119">
        <v>27913.65</v>
      </c>
      <c r="P20" s="119">
        <v>0</v>
      </c>
      <c r="Q20" s="119">
        <v>0</v>
      </c>
      <c r="R20" s="119">
        <v>25451.42</v>
      </c>
      <c r="S20" s="119">
        <v>0</v>
      </c>
      <c r="T20" s="116" t="s">
        <v>959</v>
      </c>
      <c r="U20" s="116" t="s">
        <v>92</v>
      </c>
      <c r="V20" s="116" t="s">
        <v>103</v>
      </c>
      <c r="W20" s="116">
        <v>20171231</v>
      </c>
      <c r="X20" s="116">
        <v>20181230</v>
      </c>
      <c r="Y20" s="116"/>
      <c r="Z20" s="116" t="s">
        <v>922</v>
      </c>
      <c r="AA20" s="116" t="s">
        <v>105</v>
      </c>
      <c r="AB20" s="116" t="s">
        <v>923</v>
      </c>
      <c r="AC20" s="116" t="s">
        <v>123</v>
      </c>
      <c r="AD20" s="116">
        <v>2016</v>
      </c>
      <c r="AE20" s="116" t="s">
        <v>96</v>
      </c>
      <c r="AF20" s="116" t="s">
        <v>954</v>
      </c>
      <c r="AG20" s="116" t="s">
        <v>1168</v>
      </c>
      <c r="AH20" s="116"/>
      <c r="AI20" s="116" t="s">
        <v>119</v>
      </c>
      <c r="AJ20" s="116" t="s">
        <v>1169</v>
      </c>
      <c r="AK20" s="116" t="s">
        <v>123</v>
      </c>
      <c r="AL20" s="116" t="s">
        <v>129</v>
      </c>
      <c r="AM20" s="116" t="s">
        <v>633</v>
      </c>
      <c r="AN20" s="116" t="s">
        <v>634</v>
      </c>
      <c r="AO20" s="120">
        <v>43109</v>
      </c>
      <c r="AP20" s="116" t="s">
        <v>111</v>
      </c>
      <c r="AQ20" s="116">
        <v>33</v>
      </c>
      <c r="AR20" s="125"/>
      <c r="AS20" s="122">
        <v>43101</v>
      </c>
      <c r="AT20" s="123"/>
      <c r="AU20" s="116"/>
      <c r="AV20" s="124"/>
      <c r="AW20" s="123"/>
      <c r="AX20" s="116"/>
    </row>
    <row r="21" spans="1:50" ht="15" hidden="1">
      <c r="A21" s="116" t="s">
        <v>963</v>
      </c>
      <c r="B21" s="116" t="s">
        <v>90</v>
      </c>
      <c r="C21" s="116" t="s">
        <v>91</v>
      </c>
      <c r="D21" s="117">
        <v>0</v>
      </c>
      <c r="E21" s="118">
        <v>2415.25</v>
      </c>
      <c r="F21" s="118">
        <v>0</v>
      </c>
      <c r="G21" s="118">
        <v>0</v>
      </c>
      <c r="H21" s="118">
        <v>24396.880000000001</v>
      </c>
      <c r="I21" s="118">
        <v>3603.11</v>
      </c>
      <c r="J21" s="118">
        <v>0</v>
      </c>
      <c r="K21" s="118">
        <v>-5890</v>
      </c>
      <c r="L21" s="118">
        <v>0</v>
      </c>
      <c r="M21" s="118">
        <v>0</v>
      </c>
      <c r="N21" s="118">
        <v>22109.99</v>
      </c>
      <c r="O21" s="119">
        <v>24396.880000000001</v>
      </c>
      <c r="P21" s="119">
        <v>0</v>
      </c>
      <c r="Q21" s="119">
        <v>0</v>
      </c>
      <c r="R21" s="119">
        <v>0</v>
      </c>
      <c r="S21" s="119">
        <v>0</v>
      </c>
      <c r="T21" s="116" t="s">
        <v>964</v>
      </c>
      <c r="U21" s="116" t="s">
        <v>92</v>
      </c>
      <c r="V21" s="116" t="s">
        <v>107</v>
      </c>
      <c r="W21" s="116">
        <v>20171231</v>
      </c>
      <c r="X21" s="116">
        <v>20181230</v>
      </c>
      <c r="Y21" s="116"/>
      <c r="Z21" s="116" t="s">
        <v>922</v>
      </c>
      <c r="AA21" s="116" t="s">
        <v>105</v>
      </c>
      <c r="AB21" s="116" t="s">
        <v>923</v>
      </c>
      <c r="AC21" s="116" t="s">
        <v>123</v>
      </c>
      <c r="AD21" s="116">
        <v>2017</v>
      </c>
      <c r="AE21" s="116" t="s">
        <v>96</v>
      </c>
      <c r="AF21" s="116" t="s">
        <v>954</v>
      </c>
      <c r="AG21" s="116" t="s">
        <v>1418</v>
      </c>
      <c r="AH21" s="116"/>
      <c r="AI21" s="116" t="s">
        <v>162</v>
      </c>
      <c r="AJ21" s="116" t="s">
        <v>1419</v>
      </c>
      <c r="AK21" s="116" t="s">
        <v>123</v>
      </c>
      <c r="AL21" s="116" t="s">
        <v>129</v>
      </c>
      <c r="AM21" s="116" t="s">
        <v>734</v>
      </c>
      <c r="AN21" s="116" t="s">
        <v>735</v>
      </c>
      <c r="AO21" s="120">
        <v>43109</v>
      </c>
      <c r="AP21" s="116" t="s">
        <v>111</v>
      </c>
      <c r="AQ21" s="116">
        <v>33</v>
      </c>
      <c r="AR21" s="125"/>
      <c r="AS21" s="122">
        <v>43101</v>
      </c>
      <c r="AT21" s="123"/>
      <c r="AU21" s="116"/>
      <c r="AV21" s="124"/>
      <c r="AW21" s="123"/>
      <c r="AX21" s="116"/>
    </row>
    <row r="22" spans="1:50" ht="15" hidden="1">
      <c r="A22" s="116" t="s">
        <v>968</v>
      </c>
      <c r="B22" s="116" t="s">
        <v>90</v>
      </c>
      <c r="C22" s="116" t="s">
        <v>91</v>
      </c>
      <c r="D22" s="117">
        <v>0</v>
      </c>
      <c r="E22" s="118">
        <v>843.3</v>
      </c>
      <c r="F22" s="118">
        <v>0</v>
      </c>
      <c r="G22" s="118">
        <v>0</v>
      </c>
      <c r="H22" s="118">
        <v>0</v>
      </c>
      <c r="I22" s="118">
        <v>0</v>
      </c>
      <c r="J22" s="118">
        <v>0</v>
      </c>
      <c r="K22" s="118">
        <v>0</v>
      </c>
      <c r="L22" s="118">
        <v>0</v>
      </c>
      <c r="M22" s="118">
        <v>0</v>
      </c>
      <c r="N22" s="118">
        <v>0</v>
      </c>
      <c r="O22" s="119">
        <v>0</v>
      </c>
      <c r="P22" s="119">
        <v>0</v>
      </c>
      <c r="Q22" s="119">
        <v>0</v>
      </c>
      <c r="R22" s="119">
        <v>0</v>
      </c>
      <c r="S22" s="119">
        <v>0</v>
      </c>
      <c r="T22" s="116" t="s">
        <v>969</v>
      </c>
      <c r="U22" s="116" t="s">
        <v>92</v>
      </c>
      <c r="V22" s="116" t="s">
        <v>113</v>
      </c>
      <c r="W22" s="116">
        <v>20171231</v>
      </c>
      <c r="X22" s="116">
        <v>20181230</v>
      </c>
      <c r="Y22" s="116"/>
      <c r="Z22" s="116" t="s">
        <v>922</v>
      </c>
      <c r="AA22" s="116" t="s">
        <v>105</v>
      </c>
      <c r="AB22" s="116" t="s">
        <v>923</v>
      </c>
      <c r="AC22" s="116" t="s">
        <v>95</v>
      </c>
      <c r="AD22" s="116">
        <v>2017</v>
      </c>
      <c r="AE22" s="116" t="s">
        <v>96</v>
      </c>
      <c r="AF22" s="116" t="s">
        <v>954</v>
      </c>
      <c r="AG22" s="116" t="s">
        <v>1392</v>
      </c>
      <c r="AH22" s="116"/>
      <c r="AI22" s="116" t="s">
        <v>108</v>
      </c>
      <c r="AJ22" s="116" t="s">
        <v>1393</v>
      </c>
      <c r="AK22" s="116" t="s">
        <v>551</v>
      </c>
      <c r="AL22" s="116" t="s">
        <v>129</v>
      </c>
      <c r="AM22" s="116" t="s">
        <v>601</v>
      </c>
      <c r="AN22" s="116" t="s">
        <v>724</v>
      </c>
      <c r="AO22" s="120">
        <v>43112</v>
      </c>
      <c r="AP22" s="116" t="s">
        <v>111</v>
      </c>
      <c r="AQ22" s="116">
        <v>33</v>
      </c>
      <c r="AR22" s="125"/>
      <c r="AS22" s="122">
        <v>43101</v>
      </c>
      <c r="AT22" s="123"/>
      <c r="AU22" s="116"/>
      <c r="AV22" s="124"/>
      <c r="AW22" s="123"/>
      <c r="AX22" s="116"/>
    </row>
    <row r="23" spans="1:50" ht="15" hidden="1">
      <c r="A23" s="116" t="s">
        <v>972</v>
      </c>
      <c r="B23" s="116" t="s">
        <v>90</v>
      </c>
      <c r="C23" s="116" t="s">
        <v>91</v>
      </c>
      <c r="D23" s="117">
        <v>0</v>
      </c>
      <c r="E23" s="118">
        <v>2529.69</v>
      </c>
      <c r="F23" s="118">
        <v>0</v>
      </c>
      <c r="G23" s="118">
        <v>0</v>
      </c>
      <c r="H23" s="118">
        <v>430</v>
      </c>
      <c r="I23" s="118">
        <v>51.6</v>
      </c>
      <c r="J23" s="118">
        <v>0</v>
      </c>
      <c r="K23" s="118">
        <v>-86</v>
      </c>
      <c r="L23" s="118">
        <v>0</v>
      </c>
      <c r="M23" s="118">
        <v>0</v>
      </c>
      <c r="N23" s="118">
        <v>395.6</v>
      </c>
      <c r="O23" s="119">
        <v>430</v>
      </c>
      <c r="P23" s="119">
        <v>0</v>
      </c>
      <c r="Q23" s="119">
        <v>0</v>
      </c>
      <c r="R23" s="119">
        <v>0</v>
      </c>
      <c r="S23" s="119">
        <v>0</v>
      </c>
      <c r="T23" s="116" t="s">
        <v>973</v>
      </c>
      <c r="U23" s="116" t="s">
        <v>92</v>
      </c>
      <c r="V23" s="116" t="s">
        <v>115</v>
      </c>
      <c r="W23" s="116">
        <v>20171231</v>
      </c>
      <c r="X23" s="116">
        <v>20181230</v>
      </c>
      <c r="Y23" s="116"/>
      <c r="Z23" s="116" t="s">
        <v>922</v>
      </c>
      <c r="AA23" s="116" t="s">
        <v>105</v>
      </c>
      <c r="AB23" s="116" t="s">
        <v>923</v>
      </c>
      <c r="AC23" s="116" t="s">
        <v>114</v>
      </c>
      <c r="AD23" s="116">
        <v>2017</v>
      </c>
      <c r="AE23" s="116" t="s">
        <v>96</v>
      </c>
      <c r="AF23" s="116" t="s">
        <v>954</v>
      </c>
      <c r="AG23" s="116" t="s">
        <v>1482</v>
      </c>
      <c r="AH23" s="116"/>
      <c r="AI23" s="116" t="s">
        <v>162</v>
      </c>
      <c r="AJ23" s="116" t="s">
        <v>1483</v>
      </c>
      <c r="AK23" s="116" t="s">
        <v>114</v>
      </c>
      <c r="AL23" s="116" t="s">
        <v>129</v>
      </c>
      <c r="AM23" s="116" t="s">
        <v>339</v>
      </c>
      <c r="AN23" s="116" t="s">
        <v>752</v>
      </c>
      <c r="AO23" s="120">
        <v>43112</v>
      </c>
      <c r="AP23" s="116" t="s">
        <v>111</v>
      </c>
      <c r="AQ23" s="116">
        <v>33</v>
      </c>
      <c r="AR23" s="125"/>
      <c r="AS23" s="122">
        <v>43101</v>
      </c>
      <c r="AT23" s="123"/>
      <c r="AU23" s="116"/>
      <c r="AV23" s="124"/>
      <c r="AW23" s="123"/>
      <c r="AX23" s="116"/>
    </row>
    <row r="24" spans="1:50" ht="15" hidden="1">
      <c r="A24" s="116" t="s">
        <v>976</v>
      </c>
      <c r="B24" s="116" t="s">
        <v>90</v>
      </c>
      <c r="C24" s="116" t="s">
        <v>91</v>
      </c>
      <c r="D24" s="117">
        <v>0</v>
      </c>
      <c r="E24" s="118">
        <v>617</v>
      </c>
      <c r="F24" s="118">
        <v>0</v>
      </c>
      <c r="G24" s="118">
        <v>0</v>
      </c>
      <c r="H24" s="118">
        <v>0</v>
      </c>
      <c r="I24" s="118">
        <v>-1836.22</v>
      </c>
      <c r="J24" s="118">
        <v>0</v>
      </c>
      <c r="K24" s="118">
        <v>-15658</v>
      </c>
      <c r="L24" s="118">
        <v>0</v>
      </c>
      <c r="M24" s="118">
        <v>3416.51</v>
      </c>
      <c r="N24" s="118">
        <v>-14077.71</v>
      </c>
      <c r="O24" s="119">
        <v>0</v>
      </c>
      <c r="P24" s="119">
        <v>0</v>
      </c>
      <c r="Q24" s="119">
        <v>0</v>
      </c>
      <c r="R24" s="119">
        <v>0</v>
      </c>
      <c r="S24" s="119">
        <v>0</v>
      </c>
      <c r="T24" s="116" t="s">
        <v>977</v>
      </c>
      <c r="U24" s="116" t="s">
        <v>92</v>
      </c>
      <c r="V24" s="116" t="s">
        <v>116</v>
      </c>
      <c r="W24" s="116">
        <v>20171231</v>
      </c>
      <c r="X24" s="116">
        <v>20181230</v>
      </c>
      <c r="Y24" s="116"/>
      <c r="Z24" s="116" t="s">
        <v>922</v>
      </c>
      <c r="AA24" s="116" t="s">
        <v>105</v>
      </c>
      <c r="AB24" s="116" t="s">
        <v>923</v>
      </c>
      <c r="AC24" s="116" t="s">
        <v>106</v>
      </c>
      <c r="AD24" s="116">
        <v>2016</v>
      </c>
      <c r="AE24" s="116" t="s">
        <v>96</v>
      </c>
      <c r="AF24" s="116" t="s">
        <v>954</v>
      </c>
      <c r="AG24" s="116" t="s">
        <v>1132</v>
      </c>
      <c r="AH24" s="116"/>
      <c r="AI24" s="116" t="s">
        <v>162</v>
      </c>
      <c r="AJ24" s="116" t="s">
        <v>1133</v>
      </c>
      <c r="AK24" s="116" t="s">
        <v>106</v>
      </c>
      <c r="AL24" s="116" t="s">
        <v>129</v>
      </c>
      <c r="AM24" s="116" t="s">
        <v>480</v>
      </c>
      <c r="AN24" s="116" t="s">
        <v>621</v>
      </c>
      <c r="AO24" s="120">
        <v>43115</v>
      </c>
      <c r="AP24" s="116" t="s">
        <v>111</v>
      </c>
      <c r="AQ24" s="116">
        <v>33</v>
      </c>
      <c r="AR24" s="125"/>
      <c r="AS24" s="122">
        <v>43101</v>
      </c>
      <c r="AT24" s="123"/>
      <c r="AU24" s="116"/>
      <c r="AV24" s="124"/>
      <c r="AW24" s="123"/>
      <c r="AX24" s="116"/>
    </row>
    <row r="25" spans="1:50" ht="15" hidden="1">
      <c r="A25" s="116" t="s">
        <v>981</v>
      </c>
      <c r="B25" s="116" t="s">
        <v>90</v>
      </c>
      <c r="C25" s="116" t="s">
        <v>91</v>
      </c>
      <c r="D25" s="117">
        <v>0</v>
      </c>
      <c r="E25" s="118">
        <v>408.05</v>
      </c>
      <c r="F25" s="118">
        <v>0</v>
      </c>
      <c r="G25" s="118">
        <v>0</v>
      </c>
      <c r="H25" s="118">
        <v>0</v>
      </c>
      <c r="I25" s="118">
        <v>-2348.6999999999998</v>
      </c>
      <c r="J25" s="118">
        <v>0</v>
      </c>
      <c r="K25" s="118">
        <v>-15658</v>
      </c>
      <c r="L25" s="118">
        <v>0</v>
      </c>
      <c r="M25" s="118">
        <v>0</v>
      </c>
      <c r="N25" s="118">
        <v>-18006.7</v>
      </c>
      <c r="O25" s="119">
        <v>0</v>
      </c>
      <c r="P25" s="119">
        <v>0</v>
      </c>
      <c r="Q25" s="119">
        <v>0</v>
      </c>
      <c r="R25" s="119">
        <v>0</v>
      </c>
      <c r="S25" s="119">
        <v>0</v>
      </c>
      <c r="T25" s="116" t="s">
        <v>982</v>
      </c>
      <c r="U25" s="116" t="s">
        <v>92</v>
      </c>
      <c r="V25" s="116" t="s">
        <v>117</v>
      </c>
      <c r="W25" s="116">
        <v>20171231</v>
      </c>
      <c r="X25" s="116">
        <v>20181230</v>
      </c>
      <c r="Y25" s="116"/>
      <c r="Z25" s="116" t="s">
        <v>922</v>
      </c>
      <c r="AA25" s="116" t="s">
        <v>105</v>
      </c>
      <c r="AB25" s="116" t="s">
        <v>923</v>
      </c>
      <c r="AC25" s="116" t="s">
        <v>101</v>
      </c>
      <c r="AD25" s="116">
        <v>2016</v>
      </c>
      <c r="AE25" s="116" t="s">
        <v>96</v>
      </c>
      <c r="AF25" s="116" t="s">
        <v>954</v>
      </c>
      <c r="AG25" s="116" t="s">
        <v>1092</v>
      </c>
      <c r="AH25" s="116"/>
      <c r="AI25" s="116" t="s">
        <v>162</v>
      </c>
      <c r="AJ25" s="116" t="s">
        <v>1093</v>
      </c>
      <c r="AK25" s="116" t="s">
        <v>101</v>
      </c>
      <c r="AL25" s="116" t="s">
        <v>129</v>
      </c>
      <c r="AM25" s="116" t="s">
        <v>238</v>
      </c>
      <c r="AN25" s="116" t="s">
        <v>605</v>
      </c>
      <c r="AO25" s="120">
        <v>43116</v>
      </c>
      <c r="AP25" s="116" t="s">
        <v>111</v>
      </c>
      <c r="AQ25" s="116">
        <v>33</v>
      </c>
      <c r="AR25" s="125"/>
      <c r="AS25" s="122">
        <v>43101</v>
      </c>
      <c r="AT25" s="123"/>
      <c r="AU25" s="116"/>
      <c r="AV25" s="124"/>
      <c r="AW25" s="123"/>
      <c r="AX25" s="116"/>
    </row>
    <row r="26" spans="1:50" ht="15" hidden="1">
      <c r="A26" s="116" t="s">
        <v>986</v>
      </c>
      <c r="B26" s="116" t="s">
        <v>90</v>
      </c>
      <c r="C26" s="116" t="s">
        <v>91</v>
      </c>
      <c r="D26" s="117">
        <v>0</v>
      </c>
      <c r="E26" s="118">
        <v>2067.44</v>
      </c>
      <c r="F26" s="118">
        <v>0</v>
      </c>
      <c r="G26" s="118">
        <v>0</v>
      </c>
      <c r="H26" s="118">
        <v>35485.019999999997</v>
      </c>
      <c r="I26" s="118">
        <v>9917.68</v>
      </c>
      <c r="J26" s="118">
        <v>0</v>
      </c>
      <c r="K26" s="118">
        <v>0</v>
      </c>
      <c r="L26" s="118">
        <v>0</v>
      </c>
      <c r="M26" s="118">
        <v>7632.87</v>
      </c>
      <c r="N26" s="118">
        <v>53035.57</v>
      </c>
      <c r="O26" s="119">
        <v>19827.02</v>
      </c>
      <c r="P26" s="119">
        <v>0</v>
      </c>
      <c r="Q26" s="119">
        <v>0</v>
      </c>
      <c r="R26" s="119">
        <v>15658</v>
      </c>
      <c r="S26" s="119">
        <v>0</v>
      </c>
      <c r="T26" s="116" t="s">
        <v>987</v>
      </c>
      <c r="U26" s="116" t="s">
        <v>92</v>
      </c>
      <c r="V26" s="116" t="s">
        <v>118</v>
      </c>
      <c r="W26" s="116">
        <v>20171231</v>
      </c>
      <c r="X26" s="116">
        <v>20181230</v>
      </c>
      <c r="Y26" s="116"/>
      <c r="Z26" s="116" t="s">
        <v>922</v>
      </c>
      <c r="AA26" s="116" t="s">
        <v>105</v>
      </c>
      <c r="AB26" s="116" t="s">
        <v>923</v>
      </c>
      <c r="AC26" s="116" t="s">
        <v>123</v>
      </c>
      <c r="AD26" s="116">
        <v>2016</v>
      </c>
      <c r="AE26" s="116" t="s">
        <v>96</v>
      </c>
      <c r="AF26" s="116" t="s">
        <v>954</v>
      </c>
      <c r="AG26" s="116" t="s">
        <v>1172</v>
      </c>
      <c r="AH26" s="116"/>
      <c r="AI26" s="116" t="s">
        <v>108</v>
      </c>
      <c r="AJ26" s="116" t="s">
        <v>1173</v>
      </c>
      <c r="AK26" s="116" t="s">
        <v>123</v>
      </c>
      <c r="AL26" s="116" t="s">
        <v>129</v>
      </c>
      <c r="AM26" s="116" t="s">
        <v>635</v>
      </c>
      <c r="AN26" s="116" t="s">
        <v>636</v>
      </c>
      <c r="AO26" s="120">
        <v>43117</v>
      </c>
      <c r="AP26" s="116" t="s">
        <v>111</v>
      </c>
      <c r="AQ26" s="116">
        <v>33</v>
      </c>
      <c r="AR26" s="125"/>
      <c r="AS26" s="122">
        <v>43101</v>
      </c>
      <c r="AT26" s="123"/>
      <c r="AU26" s="116"/>
      <c r="AV26" s="124"/>
      <c r="AW26" s="123"/>
      <c r="AX26" s="116"/>
    </row>
    <row r="27" spans="1:50" ht="15" hidden="1">
      <c r="A27" s="116" t="s">
        <v>991</v>
      </c>
      <c r="B27" s="116" t="s">
        <v>90</v>
      </c>
      <c r="C27" s="116" t="s">
        <v>91</v>
      </c>
      <c r="D27" s="117">
        <v>0</v>
      </c>
      <c r="E27" s="118">
        <v>806.33</v>
      </c>
      <c r="F27" s="118">
        <v>0</v>
      </c>
      <c r="G27" s="118">
        <v>0</v>
      </c>
      <c r="H27" s="118">
        <v>18580.96</v>
      </c>
      <c r="I27" s="118">
        <v>1587.14</v>
      </c>
      <c r="J27" s="118">
        <v>0</v>
      </c>
      <c r="K27" s="118">
        <v>-8000</v>
      </c>
      <c r="L27" s="118">
        <v>0</v>
      </c>
      <c r="M27" s="118">
        <v>0</v>
      </c>
      <c r="N27" s="118">
        <v>12168.1</v>
      </c>
      <c r="O27" s="119">
        <v>18580.96</v>
      </c>
      <c r="P27" s="119">
        <v>0</v>
      </c>
      <c r="Q27" s="119">
        <v>0</v>
      </c>
      <c r="R27" s="119">
        <v>0</v>
      </c>
      <c r="S27" s="119">
        <v>0</v>
      </c>
      <c r="T27" s="116" t="s">
        <v>992</v>
      </c>
      <c r="U27" s="116" t="s">
        <v>92</v>
      </c>
      <c r="V27" s="116" t="s">
        <v>121</v>
      </c>
      <c r="W27" s="116">
        <v>20171231</v>
      </c>
      <c r="X27" s="116">
        <v>20181230</v>
      </c>
      <c r="Y27" s="116"/>
      <c r="Z27" s="116" t="s">
        <v>922</v>
      </c>
      <c r="AA27" s="116" t="s">
        <v>105</v>
      </c>
      <c r="AB27" s="116" t="s">
        <v>1713</v>
      </c>
      <c r="AC27" s="116" t="s">
        <v>106</v>
      </c>
      <c r="AD27" s="116">
        <v>2014</v>
      </c>
      <c r="AE27" s="116" t="s">
        <v>374</v>
      </c>
      <c r="AF27" s="116" t="s">
        <v>1697</v>
      </c>
      <c r="AG27" s="116" t="s">
        <v>1714</v>
      </c>
      <c r="AH27" s="116"/>
      <c r="AI27" s="116" t="s">
        <v>119</v>
      </c>
      <c r="AJ27" s="116" t="s">
        <v>1715</v>
      </c>
      <c r="AK27" s="116" t="s">
        <v>551</v>
      </c>
      <c r="AL27" s="116" t="s">
        <v>129</v>
      </c>
      <c r="AM27" s="116" t="s">
        <v>828</v>
      </c>
      <c r="AN27" s="116" t="s">
        <v>829</v>
      </c>
      <c r="AO27" s="120">
        <v>43117</v>
      </c>
      <c r="AP27" s="116" t="s">
        <v>111</v>
      </c>
      <c r="AQ27" s="116">
        <v>33</v>
      </c>
      <c r="AR27" s="125"/>
      <c r="AS27" s="122">
        <v>43101</v>
      </c>
      <c r="AT27" s="123"/>
      <c r="AU27" s="116"/>
      <c r="AV27" s="124"/>
      <c r="AW27" s="123"/>
      <c r="AX27" s="116"/>
    </row>
    <row r="28" spans="1:50" ht="15" hidden="1">
      <c r="A28" s="116" t="s">
        <v>996</v>
      </c>
      <c r="B28" s="116" t="s">
        <v>90</v>
      </c>
      <c r="C28" s="116" t="s">
        <v>91</v>
      </c>
      <c r="D28" s="117">
        <v>0</v>
      </c>
      <c r="E28" s="118">
        <v>1254.56</v>
      </c>
      <c r="F28" s="118">
        <v>0</v>
      </c>
      <c r="G28" s="118">
        <v>0</v>
      </c>
      <c r="H28" s="118">
        <v>15658</v>
      </c>
      <c r="I28" s="118">
        <v>2348.6999999999998</v>
      </c>
      <c r="J28" s="118">
        <v>0</v>
      </c>
      <c r="K28" s="118">
        <v>0</v>
      </c>
      <c r="L28" s="118">
        <v>0</v>
      </c>
      <c r="M28" s="118">
        <v>0</v>
      </c>
      <c r="N28" s="118">
        <v>18006.7</v>
      </c>
      <c r="O28" s="119">
        <v>0</v>
      </c>
      <c r="P28" s="119">
        <v>0</v>
      </c>
      <c r="Q28" s="119">
        <v>0</v>
      </c>
      <c r="R28" s="119">
        <v>15658</v>
      </c>
      <c r="S28" s="119">
        <v>0</v>
      </c>
      <c r="T28" s="116" t="s">
        <v>997</v>
      </c>
      <c r="U28" s="116" t="s">
        <v>92</v>
      </c>
      <c r="V28" s="116" t="s">
        <v>124</v>
      </c>
      <c r="W28" s="116">
        <v>20171231</v>
      </c>
      <c r="X28" s="116">
        <v>20181230</v>
      </c>
      <c r="Y28" s="116"/>
      <c r="Z28" s="116" t="s">
        <v>922</v>
      </c>
      <c r="AA28" s="116" t="s">
        <v>105</v>
      </c>
      <c r="AB28" s="116" t="s">
        <v>923</v>
      </c>
      <c r="AC28" s="116" t="s">
        <v>166</v>
      </c>
      <c r="AD28" s="116">
        <v>2017</v>
      </c>
      <c r="AE28" s="116" t="s">
        <v>96</v>
      </c>
      <c r="AF28" s="116" t="s">
        <v>954</v>
      </c>
      <c r="AG28" s="116" t="s">
        <v>1657</v>
      </c>
      <c r="AH28" s="116"/>
      <c r="AI28" s="116" t="s">
        <v>119</v>
      </c>
      <c r="AJ28" s="116" t="s">
        <v>1658</v>
      </c>
      <c r="AK28" s="116" t="s">
        <v>166</v>
      </c>
      <c r="AL28" s="116" t="s">
        <v>129</v>
      </c>
      <c r="AM28" s="116" t="s">
        <v>292</v>
      </c>
      <c r="AN28" s="116" t="s">
        <v>810</v>
      </c>
      <c r="AO28" s="120">
        <v>43118</v>
      </c>
      <c r="AP28" s="116" t="s">
        <v>111</v>
      </c>
      <c r="AQ28" s="116">
        <v>33</v>
      </c>
      <c r="AR28" s="125"/>
      <c r="AS28" s="122">
        <v>43101</v>
      </c>
      <c r="AT28" s="123"/>
      <c r="AU28" s="116"/>
      <c r="AV28" s="124"/>
      <c r="AW28" s="123"/>
      <c r="AX28" s="116"/>
    </row>
    <row r="29" spans="1:50" ht="15" hidden="1">
      <c r="A29" s="116" t="s">
        <v>1000</v>
      </c>
      <c r="B29" s="116" t="s">
        <v>90</v>
      </c>
      <c r="C29" s="116" t="s">
        <v>91</v>
      </c>
      <c r="D29" s="117">
        <v>0</v>
      </c>
      <c r="E29" s="118">
        <v>1892.13</v>
      </c>
      <c r="F29" s="118">
        <v>0</v>
      </c>
      <c r="G29" s="118">
        <v>0</v>
      </c>
      <c r="H29" s="118">
        <v>12365.87</v>
      </c>
      <c r="I29" s="118">
        <v>2145.48</v>
      </c>
      <c r="J29" s="118">
        <v>0</v>
      </c>
      <c r="K29" s="118">
        <v>-6496</v>
      </c>
      <c r="L29" s="118">
        <v>0</v>
      </c>
      <c r="M29" s="118">
        <v>0</v>
      </c>
      <c r="N29" s="118">
        <v>8015.35</v>
      </c>
      <c r="O29" s="119">
        <v>12365.87</v>
      </c>
      <c r="P29" s="119">
        <v>0</v>
      </c>
      <c r="Q29" s="119">
        <v>0</v>
      </c>
      <c r="R29" s="119">
        <v>0</v>
      </c>
      <c r="S29" s="119">
        <v>0</v>
      </c>
      <c r="T29" s="116" t="s">
        <v>1001</v>
      </c>
      <c r="U29" s="116" t="s">
        <v>92</v>
      </c>
      <c r="V29" s="116" t="s">
        <v>125</v>
      </c>
      <c r="W29" s="116">
        <v>20171231</v>
      </c>
      <c r="X29" s="116">
        <v>20181230</v>
      </c>
      <c r="Y29" s="116"/>
      <c r="Z29" s="116" t="s">
        <v>922</v>
      </c>
      <c r="AA29" s="116" t="s">
        <v>105</v>
      </c>
      <c r="AB29" s="116" t="s">
        <v>1696</v>
      </c>
      <c r="AC29" s="116" t="s">
        <v>106</v>
      </c>
      <c r="AD29" s="116">
        <v>2013</v>
      </c>
      <c r="AE29" s="116" t="s">
        <v>374</v>
      </c>
      <c r="AF29" s="116" t="s">
        <v>1697</v>
      </c>
      <c r="AG29" s="116" t="s">
        <v>1698</v>
      </c>
      <c r="AH29" s="116" t="s">
        <v>1699</v>
      </c>
      <c r="AI29" s="116" t="s">
        <v>108</v>
      </c>
      <c r="AJ29" s="116" t="s">
        <v>1169</v>
      </c>
      <c r="AK29" s="116" t="s">
        <v>106</v>
      </c>
      <c r="AL29" s="116" t="s">
        <v>129</v>
      </c>
      <c r="AM29" s="116" t="s">
        <v>823</v>
      </c>
      <c r="AN29" s="116" t="s">
        <v>824</v>
      </c>
      <c r="AO29" s="120">
        <v>43123</v>
      </c>
      <c r="AP29" s="116" t="s">
        <v>111</v>
      </c>
      <c r="AQ29" s="116">
        <v>33</v>
      </c>
      <c r="AR29" s="121" t="s">
        <v>545</v>
      </c>
      <c r="AS29" s="122">
        <v>43101</v>
      </c>
      <c r="AT29" s="123"/>
      <c r="AU29" s="116"/>
      <c r="AV29" s="124"/>
      <c r="AW29" s="123"/>
      <c r="AX29" s="116" t="s">
        <v>1699</v>
      </c>
    </row>
    <row r="30" spans="1:50" ht="15" hidden="1">
      <c r="A30" s="116" t="s">
        <v>1000</v>
      </c>
      <c r="B30" s="116" t="s">
        <v>90</v>
      </c>
      <c r="C30" s="116" t="s">
        <v>91</v>
      </c>
      <c r="D30" s="117">
        <v>0</v>
      </c>
      <c r="E30" s="118">
        <v>1254.56</v>
      </c>
      <c r="F30" s="118">
        <v>0</v>
      </c>
      <c r="G30" s="118">
        <v>0</v>
      </c>
      <c r="H30" s="118">
        <v>9663.07</v>
      </c>
      <c r="I30" s="118">
        <v>-899.24</v>
      </c>
      <c r="J30" s="118">
        <v>0</v>
      </c>
      <c r="K30" s="118">
        <v>-15658</v>
      </c>
      <c r="L30" s="118">
        <v>0</v>
      </c>
      <c r="M30" s="118">
        <v>0</v>
      </c>
      <c r="N30" s="118">
        <v>-6894.17</v>
      </c>
      <c r="O30" s="119">
        <v>9663.07</v>
      </c>
      <c r="P30" s="119">
        <v>0</v>
      </c>
      <c r="Q30" s="119">
        <v>0</v>
      </c>
      <c r="R30" s="119">
        <v>0</v>
      </c>
      <c r="S30" s="119">
        <v>0</v>
      </c>
      <c r="T30" s="116" t="s">
        <v>1005</v>
      </c>
      <c r="U30" s="116" t="s">
        <v>92</v>
      </c>
      <c r="V30" s="116" t="s">
        <v>125</v>
      </c>
      <c r="W30" s="116">
        <v>20171231</v>
      </c>
      <c r="X30" s="116">
        <v>20181230</v>
      </c>
      <c r="Y30" s="116"/>
      <c r="Z30" s="116" t="s">
        <v>922</v>
      </c>
      <c r="AA30" s="116" t="s">
        <v>105</v>
      </c>
      <c r="AB30" s="116" t="s">
        <v>923</v>
      </c>
      <c r="AC30" s="116" t="s">
        <v>106</v>
      </c>
      <c r="AD30" s="116">
        <v>2017</v>
      </c>
      <c r="AE30" s="116" t="s">
        <v>96</v>
      </c>
      <c r="AF30" s="116" t="s">
        <v>954</v>
      </c>
      <c r="AG30" s="116" t="s">
        <v>1544</v>
      </c>
      <c r="AH30" s="116" t="s">
        <v>1545</v>
      </c>
      <c r="AI30" s="116" t="s">
        <v>108</v>
      </c>
      <c r="AJ30" s="116" t="s">
        <v>1546</v>
      </c>
      <c r="AK30" s="116" t="s">
        <v>106</v>
      </c>
      <c r="AL30" s="116" t="s">
        <v>129</v>
      </c>
      <c r="AM30" s="116" t="s">
        <v>769</v>
      </c>
      <c r="AN30" s="116" t="s">
        <v>770</v>
      </c>
      <c r="AO30" s="120">
        <v>43124</v>
      </c>
      <c r="AP30" s="116" t="s">
        <v>111</v>
      </c>
      <c r="AQ30" s="116">
        <v>33</v>
      </c>
      <c r="AR30" s="121" t="s">
        <v>545</v>
      </c>
      <c r="AS30" s="122">
        <v>43101</v>
      </c>
      <c r="AT30" s="123"/>
      <c r="AU30" s="116"/>
      <c r="AV30" s="124"/>
      <c r="AW30" s="123"/>
      <c r="AX30" s="116" t="s">
        <v>1545</v>
      </c>
    </row>
    <row r="31" spans="1:50" ht="15" hidden="1">
      <c r="A31" s="116" t="s">
        <v>1000</v>
      </c>
      <c r="B31" s="116" t="s">
        <v>90</v>
      </c>
      <c r="C31" s="116" t="s">
        <v>91</v>
      </c>
      <c r="D31" s="117">
        <v>0</v>
      </c>
      <c r="E31" s="118">
        <v>0</v>
      </c>
      <c r="F31" s="118">
        <v>0</v>
      </c>
      <c r="G31" s="118">
        <v>0</v>
      </c>
      <c r="H31" s="118">
        <v>15658</v>
      </c>
      <c r="I31" s="118">
        <v>2348.6999999999998</v>
      </c>
      <c r="J31" s="118">
        <v>0</v>
      </c>
      <c r="K31" s="118">
        <v>0</v>
      </c>
      <c r="L31" s="118">
        <v>0</v>
      </c>
      <c r="M31" s="118">
        <v>0</v>
      </c>
      <c r="N31" s="118">
        <v>18006.7</v>
      </c>
      <c r="O31" s="119">
        <v>0</v>
      </c>
      <c r="P31" s="119">
        <v>0</v>
      </c>
      <c r="Q31" s="119">
        <v>0</v>
      </c>
      <c r="R31" s="119">
        <v>15658</v>
      </c>
      <c r="S31" s="119">
        <v>0</v>
      </c>
      <c r="T31" s="116" t="s">
        <v>1008</v>
      </c>
      <c r="U31" s="116" t="s">
        <v>92</v>
      </c>
      <c r="V31" s="116" t="s">
        <v>125</v>
      </c>
      <c r="W31" s="116">
        <v>20171231</v>
      </c>
      <c r="X31" s="116">
        <v>20181230</v>
      </c>
      <c r="Y31" s="116"/>
      <c r="Z31" s="116" t="s">
        <v>922</v>
      </c>
      <c r="AA31" s="116" t="s">
        <v>105</v>
      </c>
      <c r="AB31" s="116" t="s">
        <v>923</v>
      </c>
      <c r="AC31" s="116" t="s">
        <v>169</v>
      </c>
      <c r="AD31" s="116">
        <v>2017</v>
      </c>
      <c r="AE31" s="116" t="s">
        <v>96</v>
      </c>
      <c r="AF31" s="116" t="s">
        <v>954</v>
      </c>
      <c r="AG31" s="116" t="s">
        <v>1647</v>
      </c>
      <c r="AH31" s="116"/>
      <c r="AI31" s="116" t="s">
        <v>108</v>
      </c>
      <c r="AJ31" s="116" t="s">
        <v>1648</v>
      </c>
      <c r="AK31" s="116" t="s">
        <v>123</v>
      </c>
      <c r="AL31" s="116" t="s">
        <v>129</v>
      </c>
      <c r="AM31" s="116" t="s">
        <v>803</v>
      </c>
      <c r="AN31" s="116" t="s">
        <v>804</v>
      </c>
      <c r="AO31" s="120">
        <v>43124</v>
      </c>
      <c r="AP31" s="116" t="s">
        <v>111</v>
      </c>
      <c r="AQ31" s="116">
        <v>33</v>
      </c>
      <c r="AR31" s="125"/>
      <c r="AS31" s="122">
        <v>43101</v>
      </c>
      <c r="AT31" s="123"/>
      <c r="AU31" s="116"/>
      <c r="AV31" s="124"/>
      <c r="AW31" s="123"/>
      <c r="AX31" s="116"/>
    </row>
    <row r="32" spans="1:50" ht="15" hidden="1">
      <c r="A32" s="116" t="s">
        <v>1011</v>
      </c>
      <c r="B32" s="116" t="s">
        <v>90</v>
      </c>
      <c r="C32" s="116" t="s">
        <v>91</v>
      </c>
      <c r="D32" s="117">
        <v>0</v>
      </c>
      <c r="E32" s="118">
        <v>617</v>
      </c>
      <c r="F32" s="118">
        <v>0</v>
      </c>
      <c r="G32" s="118">
        <v>0</v>
      </c>
      <c r="H32" s="118">
        <v>15658</v>
      </c>
      <c r="I32" s="118">
        <v>2348.6999999999998</v>
      </c>
      <c r="J32" s="118">
        <v>0</v>
      </c>
      <c r="K32" s="118">
        <v>0</v>
      </c>
      <c r="L32" s="118">
        <v>0</v>
      </c>
      <c r="M32" s="118">
        <v>0</v>
      </c>
      <c r="N32" s="118">
        <v>18006.7</v>
      </c>
      <c r="O32" s="119">
        <v>0</v>
      </c>
      <c r="P32" s="119">
        <v>0</v>
      </c>
      <c r="Q32" s="119">
        <v>0</v>
      </c>
      <c r="R32" s="119">
        <v>15658</v>
      </c>
      <c r="S32" s="119">
        <v>0</v>
      </c>
      <c r="T32" s="116" t="s">
        <v>1012</v>
      </c>
      <c r="U32" s="116" t="s">
        <v>92</v>
      </c>
      <c r="V32" s="116" t="s">
        <v>126</v>
      </c>
      <c r="W32" s="116">
        <v>20171231</v>
      </c>
      <c r="X32" s="116">
        <v>20181230</v>
      </c>
      <c r="Y32" s="116"/>
      <c r="Z32" s="116" t="s">
        <v>922</v>
      </c>
      <c r="AA32" s="116" t="s">
        <v>105</v>
      </c>
      <c r="AB32" s="116" t="s">
        <v>923</v>
      </c>
      <c r="AC32" s="116" t="s">
        <v>156</v>
      </c>
      <c r="AD32" s="116">
        <v>2017</v>
      </c>
      <c r="AE32" s="116" t="s">
        <v>96</v>
      </c>
      <c r="AF32" s="116" t="s">
        <v>954</v>
      </c>
      <c r="AG32" s="116" t="s">
        <v>1682</v>
      </c>
      <c r="AH32" s="116" t="s">
        <v>1683</v>
      </c>
      <c r="AI32" s="116" t="s">
        <v>108</v>
      </c>
      <c r="AJ32" s="116" t="s">
        <v>1684</v>
      </c>
      <c r="AK32" s="116" t="s">
        <v>122</v>
      </c>
      <c r="AL32" s="116" t="s">
        <v>129</v>
      </c>
      <c r="AM32" s="116" t="s">
        <v>819</v>
      </c>
      <c r="AN32" s="116" t="s">
        <v>820</v>
      </c>
      <c r="AO32" s="120">
        <v>43124</v>
      </c>
      <c r="AP32" s="116" t="s">
        <v>111</v>
      </c>
      <c r="AQ32" s="116">
        <v>33</v>
      </c>
      <c r="AR32" s="125"/>
      <c r="AS32" s="122">
        <v>43101</v>
      </c>
      <c r="AT32" s="123"/>
      <c r="AU32" s="116"/>
      <c r="AV32" s="124"/>
      <c r="AW32" s="123"/>
      <c r="AX32" s="116" t="s">
        <v>1683</v>
      </c>
    </row>
    <row r="33" spans="1:50" ht="15" hidden="1">
      <c r="A33" s="116" t="s">
        <v>1016</v>
      </c>
      <c r="B33" s="116" t="s">
        <v>90</v>
      </c>
      <c r="C33" s="116" t="s">
        <v>91</v>
      </c>
      <c r="D33" s="117">
        <v>0</v>
      </c>
      <c r="E33" s="118">
        <v>437.72</v>
      </c>
      <c r="F33" s="118">
        <v>0</v>
      </c>
      <c r="G33" s="118">
        <v>0</v>
      </c>
      <c r="H33" s="118">
        <v>0</v>
      </c>
      <c r="I33" s="118">
        <v>-530.27</v>
      </c>
      <c r="J33" s="118">
        <v>0</v>
      </c>
      <c r="K33" s="118">
        <v>-11000</v>
      </c>
      <c r="L33" s="118">
        <v>0</v>
      </c>
      <c r="M33" s="118">
        <v>7464.84</v>
      </c>
      <c r="N33" s="118">
        <v>-4065.43</v>
      </c>
      <c r="O33" s="119">
        <v>0</v>
      </c>
      <c r="P33" s="119">
        <v>0</v>
      </c>
      <c r="Q33" s="119">
        <v>0</v>
      </c>
      <c r="R33" s="119">
        <v>0</v>
      </c>
      <c r="S33" s="119">
        <v>0</v>
      </c>
      <c r="T33" s="116" t="s">
        <v>1017</v>
      </c>
      <c r="U33" s="116" t="s">
        <v>92</v>
      </c>
      <c r="V33" s="116" t="s">
        <v>127</v>
      </c>
      <c r="W33" s="116">
        <v>20171231</v>
      </c>
      <c r="X33" s="116">
        <v>20181230</v>
      </c>
      <c r="Y33" s="116"/>
      <c r="Z33" s="116" t="s">
        <v>922</v>
      </c>
      <c r="AA33" s="116" t="s">
        <v>105</v>
      </c>
      <c r="AB33" s="116" t="s">
        <v>923</v>
      </c>
      <c r="AC33" s="116" t="s">
        <v>137</v>
      </c>
      <c r="AD33" s="116">
        <v>2016</v>
      </c>
      <c r="AE33" s="116" t="s">
        <v>96</v>
      </c>
      <c r="AF33" s="116" t="s">
        <v>954</v>
      </c>
      <c r="AG33" s="116" t="s">
        <v>1163</v>
      </c>
      <c r="AH33" s="116" t="s">
        <v>1164</v>
      </c>
      <c r="AI33" s="116" t="s">
        <v>119</v>
      </c>
      <c r="AJ33" s="116" t="s">
        <v>1165</v>
      </c>
      <c r="AK33" s="116" t="s">
        <v>137</v>
      </c>
      <c r="AL33" s="116" t="s">
        <v>129</v>
      </c>
      <c r="AM33" s="116" t="s">
        <v>631</v>
      </c>
      <c r="AN33" s="116" t="s">
        <v>632</v>
      </c>
      <c r="AO33" s="120">
        <v>43125</v>
      </c>
      <c r="AP33" s="116" t="s">
        <v>111</v>
      </c>
      <c r="AQ33" s="116">
        <v>33</v>
      </c>
      <c r="AR33" s="121" t="s">
        <v>545</v>
      </c>
      <c r="AS33" s="122">
        <v>43101</v>
      </c>
      <c r="AT33" s="123"/>
      <c r="AU33" s="116"/>
      <c r="AV33" s="124"/>
      <c r="AW33" s="123"/>
      <c r="AX33" s="116" t="s">
        <v>1164</v>
      </c>
    </row>
    <row r="34" spans="1:50" ht="15" hidden="1">
      <c r="A34" s="116" t="s">
        <v>1021</v>
      </c>
      <c r="B34" s="116" t="s">
        <v>90</v>
      </c>
      <c r="C34" s="116" t="s">
        <v>91</v>
      </c>
      <c r="D34" s="117">
        <v>0</v>
      </c>
      <c r="E34" s="118">
        <v>575.86</v>
      </c>
      <c r="F34" s="118">
        <v>7486.23</v>
      </c>
      <c r="G34" s="118">
        <v>7486.23</v>
      </c>
      <c r="H34" s="118">
        <v>0</v>
      </c>
      <c r="I34" s="118">
        <v>1035</v>
      </c>
      <c r="J34" s="118">
        <v>0</v>
      </c>
      <c r="K34" s="118">
        <v>0</v>
      </c>
      <c r="L34" s="118">
        <v>0</v>
      </c>
      <c r="M34" s="118">
        <v>0</v>
      </c>
      <c r="N34" s="118">
        <v>1035</v>
      </c>
      <c r="O34" s="119">
        <v>0</v>
      </c>
      <c r="P34" s="119">
        <v>0</v>
      </c>
      <c r="Q34" s="119">
        <v>0</v>
      </c>
      <c r="R34" s="119">
        <v>0</v>
      </c>
      <c r="S34" s="119">
        <v>0</v>
      </c>
      <c r="T34" s="116" t="s">
        <v>1022</v>
      </c>
      <c r="U34" s="116" t="s">
        <v>92</v>
      </c>
      <c r="V34" s="116" t="s">
        <v>130</v>
      </c>
      <c r="W34" s="116">
        <v>20171231</v>
      </c>
      <c r="X34" s="116">
        <v>20181230</v>
      </c>
      <c r="Y34" s="116"/>
      <c r="Z34" s="116" t="s">
        <v>922</v>
      </c>
      <c r="AA34" s="116" t="s">
        <v>105</v>
      </c>
      <c r="AB34" s="116" t="s">
        <v>923</v>
      </c>
      <c r="AC34" s="116" t="s">
        <v>106</v>
      </c>
      <c r="AD34" s="116">
        <v>2016</v>
      </c>
      <c r="AE34" s="116" t="s">
        <v>96</v>
      </c>
      <c r="AF34" s="116" t="s">
        <v>954</v>
      </c>
      <c r="AG34" s="116" t="s">
        <v>1023</v>
      </c>
      <c r="AH34" s="116" t="s">
        <v>422</v>
      </c>
      <c r="AI34" s="116" t="s">
        <v>119</v>
      </c>
      <c r="AJ34" s="116" t="s">
        <v>1024</v>
      </c>
      <c r="AK34" s="116" t="s">
        <v>551</v>
      </c>
      <c r="AL34" s="116" t="s">
        <v>129</v>
      </c>
      <c r="AM34" s="116" t="s">
        <v>578</v>
      </c>
      <c r="AN34" s="116" t="s">
        <v>579</v>
      </c>
      <c r="AO34" s="120">
        <v>43129</v>
      </c>
      <c r="AP34" s="116" t="s">
        <v>111</v>
      </c>
      <c r="AQ34" s="116">
        <v>33</v>
      </c>
      <c r="AR34" s="121" t="s">
        <v>545</v>
      </c>
      <c r="AS34" s="122">
        <v>43101</v>
      </c>
      <c r="AT34" s="123"/>
      <c r="AU34" s="116"/>
      <c r="AV34" s="124"/>
      <c r="AW34" s="123"/>
      <c r="AX34" s="116" t="s">
        <v>422</v>
      </c>
    </row>
    <row r="35" spans="1:50" ht="15" hidden="1">
      <c r="A35" s="116" t="s">
        <v>1021</v>
      </c>
      <c r="B35" s="116" t="s">
        <v>90</v>
      </c>
      <c r="C35" s="116" t="s">
        <v>91</v>
      </c>
      <c r="D35" s="117">
        <v>0</v>
      </c>
      <c r="E35" s="118">
        <v>637.55999999999995</v>
      </c>
      <c r="F35" s="118">
        <v>0</v>
      </c>
      <c r="G35" s="118">
        <v>0</v>
      </c>
      <c r="H35" s="118">
        <v>0</v>
      </c>
      <c r="I35" s="118">
        <v>1035</v>
      </c>
      <c r="J35" s="118">
        <v>0</v>
      </c>
      <c r="K35" s="118">
        <v>0</v>
      </c>
      <c r="L35" s="118">
        <v>0</v>
      </c>
      <c r="M35" s="118">
        <v>0</v>
      </c>
      <c r="N35" s="118">
        <v>1035</v>
      </c>
      <c r="O35" s="119">
        <v>0</v>
      </c>
      <c r="P35" s="119">
        <v>0</v>
      </c>
      <c r="Q35" s="119">
        <v>0</v>
      </c>
      <c r="R35" s="119">
        <v>0</v>
      </c>
      <c r="S35" s="119">
        <v>0</v>
      </c>
      <c r="T35" s="116" t="s">
        <v>1025</v>
      </c>
      <c r="U35" s="116" t="s">
        <v>92</v>
      </c>
      <c r="V35" s="116" t="s">
        <v>130</v>
      </c>
      <c r="W35" s="116">
        <v>20171231</v>
      </c>
      <c r="X35" s="116">
        <v>20181230</v>
      </c>
      <c r="Y35" s="116"/>
      <c r="Z35" s="116" t="s">
        <v>922</v>
      </c>
      <c r="AA35" s="116" t="s">
        <v>93</v>
      </c>
      <c r="AB35" s="116" t="s">
        <v>923</v>
      </c>
      <c r="AC35" s="116" t="s">
        <v>156</v>
      </c>
      <c r="AD35" s="116">
        <v>2015</v>
      </c>
      <c r="AE35" s="116" t="s">
        <v>96</v>
      </c>
      <c r="AF35" s="116" t="s">
        <v>924</v>
      </c>
      <c r="AG35" s="116" t="s">
        <v>949</v>
      </c>
      <c r="AH35" s="116" t="s">
        <v>950</v>
      </c>
      <c r="AI35" s="116" t="s">
        <v>162</v>
      </c>
      <c r="AJ35" s="116" t="s">
        <v>951</v>
      </c>
      <c r="AK35" s="116" t="s">
        <v>156</v>
      </c>
      <c r="AL35" s="116" t="s">
        <v>129</v>
      </c>
      <c r="AM35" s="116" t="s">
        <v>555</v>
      </c>
      <c r="AN35" s="116" t="s">
        <v>556</v>
      </c>
      <c r="AO35" s="120">
        <v>43137</v>
      </c>
      <c r="AP35" s="116" t="s">
        <v>111</v>
      </c>
      <c r="AQ35" s="116">
        <v>33</v>
      </c>
      <c r="AR35" s="123"/>
      <c r="AS35" s="122">
        <v>43101</v>
      </c>
      <c r="AT35" s="123"/>
      <c r="AU35" s="116"/>
      <c r="AV35" s="124"/>
      <c r="AW35" s="123"/>
      <c r="AX35" s="116" t="s">
        <v>950</v>
      </c>
    </row>
    <row r="36" spans="1:50" ht="15" hidden="1">
      <c r="A36" s="116" t="s">
        <v>1028</v>
      </c>
      <c r="B36" s="116" t="s">
        <v>90</v>
      </c>
      <c r="C36" s="116" t="s">
        <v>91</v>
      </c>
      <c r="D36" s="117">
        <v>0</v>
      </c>
      <c r="E36" s="118">
        <v>1208.28</v>
      </c>
      <c r="F36" s="118">
        <v>0</v>
      </c>
      <c r="G36" s="118">
        <v>0</v>
      </c>
      <c r="H36" s="118">
        <v>1912.55</v>
      </c>
      <c r="I36" s="118">
        <v>286.88</v>
      </c>
      <c r="J36" s="118">
        <v>0</v>
      </c>
      <c r="K36" s="118">
        <v>0</v>
      </c>
      <c r="L36" s="118">
        <v>0</v>
      </c>
      <c r="M36" s="118">
        <v>0</v>
      </c>
      <c r="N36" s="118">
        <v>2199.4299999999998</v>
      </c>
      <c r="O36" s="119">
        <v>1912.55</v>
      </c>
      <c r="P36" s="119">
        <v>0</v>
      </c>
      <c r="Q36" s="119">
        <v>0</v>
      </c>
      <c r="R36" s="119">
        <v>0</v>
      </c>
      <c r="S36" s="119">
        <v>0</v>
      </c>
      <c r="T36" s="116" t="s">
        <v>1029</v>
      </c>
      <c r="U36" s="116" t="s">
        <v>92</v>
      </c>
      <c r="V36" s="116" t="s">
        <v>132</v>
      </c>
      <c r="W36" s="116">
        <v>20171231</v>
      </c>
      <c r="X36" s="116">
        <v>20181230</v>
      </c>
      <c r="Y36" s="116"/>
      <c r="Z36" s="116" t="s">
        <v>922</v>
      </c>
      <c r="AA36" s="116" t="s">
        <v>105</v>
      </c>
      <c r="AB36" s="116" t="s">
        <v>1210</v>
      </c>
      <c r="AC36" s="116" t="s">
        <v>106</v>
      </c>
      <c r="AD36" s="116">
        <v>2016</v>
      </c>
      <c r="AE36" s="116" t="s">
        <v>96</v>
      </c>
      <c r="AF36" s="116" t="s">
        <v>1211</v>
      </c>
      <c r="AG36" s="116" t="s">
        <v>1263</v>
      </c>
      <c r="AH36" s="116" t="s">
        <v>1264</v>
      </c>
      <c r="AI36" s="116" t="s">
        <v>119</v>
      </c>
      <c r="AJ36" s="116" t="s">
        <v>1265</v>
      </c>
      <c r="AK36" s="116" t="s">
        <v>106</v>
      </c>
      <c r="AL36" s="116" t="s">
        <v>129</v>
      </c>
      <c r="AM36" s="116" t="s">
        <v>670</v>
      </c>
      <c r="AN36" s="116" t="s">
        <v>671</v>
      </c>
      <c r="AO36" s="120">
        <v>43132</v>
      </c>
      <c r="AP36" s="116" t="s">
        <v>111</v>
      </c>
      <c r="AQ36" s="116">
        <v>33</v>
      </c>
      <c r="AR36" s="121" t="s">
        <v>554</v>
      </c>
      <c r="AS36" s="122">
        <v>43132</v>
      </c>
      <c r="AT36" s="123"/>
      <c r="AU36" s="116"/>
      <c r="AV36" s="124"/>
      <c r="AW36" s="123"/>
      <c r="AX36" s="116" t="s">
        <v>1264</v>
      </c>
    </row>
    <row r="37" spans="1:50" ht="15" hidden="1">
      <c r="A37" s="116" t="s">
        <v>1028</v>
      </c>
      <c r="B37" s="116" t="s">
        <v>90</v>
      </c>
      <c r="C37" s="116" t="s">
        <v>91</v>
      </c>
      <c r="D37" s="117">
        <v>0</v>
      </c>
      <c r="E37" s="118">
        <v>801.14</v>
      </c>
      <c r="F37" s="118">
        <v>0</v>
      </c>
      <c r="G37" s="118">
        <v>0</v>
      </c>
      <c r="H37" s="118">
        <v>0</v>
      </c>
      <c r="I37" s="118">
        <v>125.09</v>
      </c>
      <c r="J37" s="118">
        <v>0</v>
      </c>
      <c r="K37" s="118">
        <v>-3600</v>
      </c>
      <c r="L37" s="118">
        <v>0</v>
      </c>
      <c r="M37" s="118">
        <v>4433.93</v>
      </c>
      <c r="N37" s="118">
        <v>959.02</v>
      </c>
      <c r="O37" s="119">
        <v>0</v>
      </c>
      <c r="P37" s="119">
        <v>0</v>
      </c>
      <c r="Q37" s="119">
        <v>0</v>
      </c>
      <c r="R37" s="119">
        <v>0</v>
      </c>
      <c r="S37" s="119">
        <v>0</v>
      </c>
      <c r="T37" s="116" t="s">
        <v>1031</v>
      </c>
      <c r="U37" s="116" t="s">
        <v>92</v>
      </c>
      <c r="V37" s="116" t="s">
        <v>132</v>
      </c>
      <c r="W37" s="116">
        <v>20171231</v>
      </c>
      <c r="X37" s="116">
        <v>20181230</v>
      </c>
      <c r="Y37" s="116"/>
      <c r="Z37" s="116" t="s">
        <v>922</v>
      </c>
      <c r="AA37" s="116" t="s">
        <v>105</v>
      </c>
      <c r="AB37" s="116" t="s">
        <v>923</v>
      </c>
      <c r="AC37" s="116" t="s">
        <v>106</v>
      </c>
      <c r="AD37" s="116">
        <v>2017</v>
      </c>
      <c r="AE37" s="116" t="s">
        <v>96</v>
      </c>
      <c r="AF37" s="116" t="s">
        <v>954</v>
      </c>
      <c r="AG37" s="116" t="s">
        <v>1432</v>
      </c>
      <c r="AH37" s="116" t="s">
        <v>1433</v>
      </c>
      <c r="AI37" s="116" t="s">
        <v>108</v>
      </c>
      <c r="AJ37" s="116" t="s">
        <v>1434</v>
      </c>
      <c r="AK37" s="116" t="s">
        <v>106</v>
      </c>
      <c r="AL37" s="116" t="s">
        <v>129</v>
      </c>
      <c r="AM37" s="116" t="s">
        <v>633</v>
      </c>
      <c r="AN37" s="116" t="s">
        <v>556</v>
      </c>
      <c r="AO37" s="120">
        <v>43132</v>
      </c>
      <c r="AP37" s="116" t="s">
        <v>111</v>
      </c>
      <c r="AQ37" s="116">
        <v>33</v>
      </c>
      <c r="AR37" s="121" t="s">
        <v>545</v>
      </c>
      <c r="AS37" s="122">
        <v>43132</v>
      </c>
      <c r="AT37" s="123"/>
      <c r="AU37" s="116"/>
      <c r="AV37" s="124"/>
      <c r="AW37" s="123"/>
      <c r="AX37" s="116" t="s">
        <v>1433</v>
      </c>
    </row>
    <row r="38" spans="1:50" ht="15" hidden="1">
      <c r="A38" s="116" t="s">
        <v>1028</v>
      </c>
      <c r="B38" s="116" t="s">
        <v>90</v>
      </c>
      <c r="C38" s="116" t="s">
        <v>91</v>
      </c>
      <c r="D38" s="117">
        <v>0</v>
      </c>
      <c r="E38" s="118">
        <v>0</v>
      </c>
      <c r="F38" s="118">
        <v>0</v>
      </c>
      <c r="G38" s="118">
        <v>0</v>
      </c>
      <c r="H38" s="118">
        <v>0</v>
      </c>
      <c r="I38" s="118">
        <v>1798.76</v>
      </c>
      <c r="J38" s="118">
        <v>0</v>
      </c>
      <c r="K38" s="118">
        <v>0</v>
      </c>
      <c r="L38" s="118">
        <v>0</v>
      </c>
      <c r="M38" s="118">
        <v>11991.75</v>
      </c>
      <c r="N38" s="118">
        <v>13790.51</v>
      </c>
      <c r="O38" s="119">
        <v>0</v>
      </c>
      <c r="P38" s="119">
        <v>0</v>
      </c>
      <c r="Q38" s="119">
        <v>0</v>
      </c>
      <c r="R38" s="119">
        <v>0</v>
      </c>
      <c r="S38" s="119">
        <v>0</v>
      </c>
      <c r="T38" s="116" t="s">
        <v>1035</v>
      </c>
      <c r="U38" s="116" t="s">
        <v>92</v>
      </c>
      <c r="V38" s="116" t="s">
        <v>132</v>
      </c>
      <c r="W38" s="116">
        <v>20171231</v>
      </c>
      <c r="X38" s="116">
        <v>20181230</v>
      </c>
      <c r="Y38" s="116"/>
      <c r="Z38" s="116" t="s">
        <v>922</v>
      </c>
      <c r="AA38" s="116" t="s">
        <v>105</v>
      </c>
      <c r="AB38" s="116" t="s">
        <v>923</v>
      </c>
      <c r="AC38" s="116" t="s">
        <v>128</v>
      </c>
      <c r="AD38" s="116">
        <v>2016</v>
      </c>
      <c r="AE38" s="116" t="s">
        <v>96</v>
      </c>
      <c r="AF38" s="116" t="s">
        <v>954</v>
      </c>
      <c r="AG38" s="116" t="s">
        <v>1114</v>
      </c>
      <c r="AH38" s="116" t="s">
        <v>424</v>
      </c>
      <c r="AI38" s="116" t="s">
        <v>119</v>
      </c>
      <c r="AJ38" s="116" t="s">
        <v>1115</v>
      </c>
      <c r="AK38" s="116" t="s">
        <v>128</v>
      </c>
      <c r="AL38" s="116" t="s">
        <v>129</v>
      </c>
      <c r="AM38" s="116" t="s">
        <v>612</v>
      </c>
      <c r="AN38" s="116" t="s">
        <v>613</v>
      </c>
      <c r="AO38" s="120">
        <v>43135</v>
      </c>
      <c r="AP38" s="116" t="s">
        <v>111</v>
      </c>
      <c r="AQ38" s="116">
        <v>33</v>
      </c>
      <c r="AR38" s="125"/>
      <c r="AS38" s="122">
        <v>43132</v>
      </c>
      <c r="AT38" s="123"/>
      <c r="AU38" s="116"/>
      <c r="AV38" s="124"/>
      <c r="AW38" s="123"/>
      <c r="AX38" s="116" t="s">
        <v>424</v>
      </c>
    </row>
    <row r="39" spans="1:50" ht="15" hidden="1">
      <c r="A39" s="116" t="s">
        <v>1038</v>
      </c>
      <c r="B39" s="116" t="s">
        <v>90</v>
      </c>
      <c r="C39" s="116" t="s">
        <v>91</v>
      </c>
      <c r="D39" s="117">
        <v>0</v>
      </c>
      <c r="E39" s="118">
        <v>801.14</v>
      </c>
      <c r="F39" s="118">
        <v>0</v>
      </c>
      <c r="G39" s="118">
        <v>0</v>
      </c>
      <c r="H39" s="118">
        <v>0</v>
      </c>
      <c r="I39" s="118">
        <v>3620.4</v>
      </c>
      <c r="J39" s="118">
        <v>0</v>
      </c>
      <c r="K39" s="118">
        <v>0</v>
      </c>
      <c r="L39" s="118">
        <v>0</v>
      </c>
      <c r="M39" s="118">
        <v>20916</v>
      </c>
      <c r="N39" s="118">
        <v>24536.400000000001</v>
      </c>
      <c r="O39" s="119">
        <v>0</v>
      </c>
      <c r="P39" s="119">
        <v>0</v>
      </c>
      <c r="Q39" s="119">
        <v>0</v>
      </c>
      <c r="R39" s="119">
        <v>0</v>
      </c>
      <c r="S39" s="119">
        <v>0</v>
      </c>
      <c r="T39" s="116" t="s">
        <v>1039</v>
      </c>
      <c r="U39" s="116" t="s">
        <v>92</v>
      </c>
      <c r="V39" s="116" t="s">
        <v>133</v>
      </c>
      <c r="W39" s="116">
        <v>20171231</v>
      </c>
      <c r="X39" s="116">
        <v>20181230</v>
      </c>
      <c r="Y39" s="116"/>
      <c r="Z39" s="116" t="s">
        <v>922</v>
      </c>
      <c r="AA39" s="116" t="s">
        <v>105</v>
      </c>
      <c r="AB39" s="116" t="s">
        <v>923</v>
      </c>
      <c r="AC39" s="116" t="s">
        <v>128</v>
      </c>
      <c r="AD39" s="116">
        <v>2016</v>
      </c>
      <c r="AE39" s="116" t="s">
        <v>96</v>
      </c>
      <c r="AF39" s="116" t="s">
        <v>954</v>
      </c>
      <c r="AG39" s="116" t="s">
        <v>1120</v>
      </c>
      <c r="AH39" s="116" t="s">
        <v>1121</v>
      </c>
      <c r="AI39" s="116" t="s">
        <v>108</v>
      </c>
      <c r="AJ39" s="116" t="s">
        <v>1122</v>
      </c>
      <c r="AK39" s="116" t="s">
        <v>128</v>
      </c>
      <c r="AL39" s="116" t="s">
        <v>129</v>
      </c>
      <c r="AM39" s="116" t="s">
        <v>616</v>
      </c>
      <c r="AN39" s="116" t="s">
        <v>617</v>
      </c>
      <c r="AO39" s="120">
        <v>43137</v>
      </c>
      <c r="AP39" s="116" t="s">
        <v>111</v>
      </c>
      <c r="AQ39" s="116">
        <v>33</v>
      </c>
      <c r="AR39" s="125"/>
      <c r="AS39" s="122">
        <v>43132</v>
      </c>
      <c r="AT39" s="123"/>
      <c r="AU39" s="116"/>
      <c r="AV39" s="124"/>
      <c r="AW39" s="123"/>
      <c r="AX39" s="116" t="s">
        <v>1121</v>
      </c>
    </row>
    <row r="40" spans="1:50" ht="15" hidden="1">
      <c r="A40" s="116" t="s">
        <v>1043</v>
      </c>
      <c r="B40" s="116" t="s">
        <v>90</v>
      </c>
      <c r="C40" s="116" t="s">
        <v>91</v>
      </c>
      <c r="D40" s="117">
        <v>0</v>
      </c>
      <c r="E40" s="118">
        <v>1533.61</v>
      </c>
      <c r="F40" s="118">
        <v>0</v>
      </c>
      <c r="G40" s="118">
        <v>0</v>
      </c>
      <c r="H40" s="118">
        <v>16147.7</v>
      </c>
      <c r="I40" s="118">
        <v>4197.16</v>
      </c>
      <c r="J40" s="118">
        <v>0</v>
      </c>
      <c r="K40" s="118">
        <v>-16150</v>
      </c>
      <c r="L40" s="118">
        <v>0</v>
      </c>
      <c r="M40" s="118">
        <v>0</v>
      </c>
      <c r="N40" s="118">
        <v>4194.8599999999997</v>
      </c>
      <c r="O40" s="119">
        <v>16147.7</v>
      </c>
      <c r="P40" s="119">
        <v>0</v>
      </c>
      <c r="Q40" s="119">
        <v>0</v>
      </c>
      <c r="R40" s="119">
        <v>0</v>
      </c>
      <c r="S40" s="119">
        <v>0</v>
      </c>
      <c r="T40" s="116" t="s">
        <v>1044</v>
      </c>
      <c r="U40" s="116" t="s">
        <v>92</v>
      </c>
      <c r="V40" s="116" t="s">
        <v>136</v>
      </c>
      <c r="W40" s="116">
        <v>20171231</v>
      </c>
      <c r="X40" s="116">
        <v>20181230</v>
      </c>
      <c r="Y40" s="116"/>
      <c r="Z40" s="116" t="s">
        <v>922</v>
      </c>
      <c r="AA40" s="116" t="s">
        <v>105</v>
      </c>
      <c r="AB40" s="116" t="s">
        <v>923</v>
      </c>
      <c r="AC40" s="116" t="s">
        <v>106</v>
      </c>
      <c r="AD40" s="116">
        <v>2017</v>
      </c>
      <c r="AE40" s="116" t="s">
        <v>96</v>
      </c>
      <c r="AF40" s="116" t="s">
        <v>954</v>
      </c>
      <c r="AG40" s="116" t="s">
        <v>1474</v>
      </c>
      <c r="AH40" s="116" t="s">
        <v>1475</v>
      </c>
      <c r="AI40" s="116" t="s">
        <v>108</v>
      </c>
      <c r="AJ40" s="116" t="s">
        <v>1476</v>
      </c>
      <c r="AK40" s="116" t="s">
        <v>551</v>
      </c>
      <c r="AL40" s="116" t="s">
        <v>129</v>
      </c>
      <c r="AM40" s="116" t="s">
        <v>612</v>
      </c>
      <c r="AN40" s="116" t="s">
        <v>750</v>
      </c>
      <c r="AO40" s="120">
        <v>43138</v>
      </c>
      <c r="AP40" s="116" t="s">
        <v>111</v>
      </c>
      <c r="AQ40" s="116">
        <v>33</v>
      </c>
      <c r="AR40" s="121" t="s">
        <v>554</v>
      </c>
      <c r="AS40" s="122">
        <v>43132</v>
      </c>
      <c r="AT40" s="123"/>
      <c r="AU40" s="116"/>
      <c r="AV40" s="124"/>
      <c r="AW40" s="123"/>
      <c r="AX40" s="116" t="s">
        <v>1475</v>
      </c>
    </row>
    <row r="41" spans="1:50" ht="15" hidden="1">
      <c r="A41" s="116" t="s">
        <v>1043</v>
      </c>
      <c r="B41" s="116" t="s">
        <v>90</v>
      </c>
      <c r="C41" s="116" t="s">
        <v>91</v>
      </c>
      <c r="D41" s="117">
        <v>0</v>
      </c>
      <c r="E41" s="118">
        <v>377.12</v>
      </c>
      <c r="F41" s="118">
        <v>0</v>
      </c>
      <c r="G41" s="118">
        <v>0</v>
      </c>
      <c r="H41" s="118">
        <v>0</v>
      </c>
      <c r="I41" s="118">
        <v>360</v>
      </c>
      <c r="J41" s="118">
        <v>0</v>
      </c>
      <c r="K41" s="118">
        <v>0</v>
      </c>
      <c r="L41" s="118">
        <v>0</v>
      </c>
      <c r="M41" s="118">
        <v>2400</v>
      </c>
      <c r="N41" s="118">
        <v>2760</v>
      </c>
      <c r="O41" s="119">
        <v>0</v>
      </c>
      <c r="P41" s="119">
        <v>0</v>
      </c>
      <c r="Q41" s="119">
        <v>0</v>
      </c>
      <c r="R41" s="119">
        <v>0</v>
      </c>
      <c r="S41" s="119">
        <v>0</v>
      </c>
      <c r="T41" s="116" t="s">
        <v>1047</v>
      </c>
      <c r="U41" s="116" t="s">
        <v>92</v>
      </c>
      <c r="V41" s="116" t="s">
        <v>136</v>
      </c>
      <c r="W41" s="116">
        <v>20171231</v>
      </c>
      <c r="X41" s="116">
        <v>20181230</v>
      </c>
      <c r="Y41" s="116"/>
      <c r="Z41" s="116" t="s">
        <v>922</v>
      </c>
      <c r="AA41" s="116" t="s">
        <v>105</v>
      </c>
      <c r="AB41" s="116" t="s">
        <v>1696</v>
      </c>
      <c r="AC41" s="116" t="s">
        <v>106</v>
      </c>
      <c r="AD41" s="116">
        <v>2013</v>
      </c>
      <c r="AE41" s="116" t="s">
        <v>374</v>
      </c>
      <c r="AF41" s="116" t="s">
        <v>1697</v>
      </c>
      <c r="AG41" s="116" t="s">
        <v>1705</v>
      </c>
      <c r="AH41" s="116" t="s">
        <v>1706</v>
      </c>
      <c r="AI41" s="116" t="s">
        <v>108</v>
      </c>
      <c r="AJ41" s="116" t="s">
        <v>1169</v>
      </c>
      <c r="AK41" s="116" t="s">
        <v>106</v>
      </c>
      <c r="AL41" s="116" t="s">
        <v>129</v>
      </c>
      <c r="AM41" s="116" t="s">
        <v>825</v>
      </c>
      <c r="AN41" s="116" t="s">
        <v>826</v>
      </c>
      <c r="AO41" s="120">
        <v>43139</v>
      </c>
      <c r="AP41" s="116" t="s">
        <v>111</v>
      </c>
      <c r="AQ41" s="116">
        <v>33</v>
      </c>
      <c r="AR41" s="121" t="s">
        <v>545</v>
      </c>
      <c r="AS41" s="122">
        <v>43132</v>
      </c>
      <c r="AT41" s="123"/>
      <c r="AU41" s="116"/>
      <c r="AV41" s="124"/>
      <c r="AW41" s="123"/>
      <c r="AX41" s="116" t="s">
        <v>1706</v>
      </c>
    </row>
    <row r="42" spans="1:50" ht="15" hidden="1">
      <c r="A42" s="116" t="s">
        <v>1050</v>
      </c>
      <c r="B42" s="116" t="s">
        <v>90</v>
      </c>
      <c r="C42" s="116" t="s">
        <v>91</v>
      </c>
      <c r="D42" s="117">
        <v>0</v>
      </c>
      <c r="E42" s="118">
        <v>2010.51</v>
      </c>
      <c r="F42" s="118">
        <v>0</v>
      </c>
      <c r="G42" s="118">
        <v>0</v>
      </c>
      <c r="H42" s="118">
        <v>42991.61</v>
      </c>
      <c r="I42" s="118">
        <v>5474.3</v>
      </c>
      <c r="J42" s="118">
        <v>0</v>
      </c>
      <c r="K42" s="118">
        <v>-6496.25</v>
      </c>
      <c r="L42" s="118">
        <v>0</v>
      </c>
      <c r="M42" s="118">
        <v>0</v>
      </c>
      <c r="N42" s="118">
        <v>41969.66</v>
      </c>
      <c r="O42" s="119">
        <v>27333.61</v>
      </c>
      <c r="P42" s="119">
        <v>0</v>
      </c>
      <c r="Q42" s="119">
        <v>0</v>
      </c>
      <c r="R42" s="119">
        <v>15658</v>
      </c>
      <c r="S42" s="119">
        <v>0</v>
      </c>
      <c r="T42" s="116" t="s">
        <v>1051</v>
      </c>
      <c r="U42" s="116" t="s">
        <v>92</v>
      </c>
      <c r="V42" s="116" t="s">
        <v>138</v>
      </c>
      <c r="W42" s="116">
        <v>20171231</v>
      </c>
      <c r="X42" s="116">
        <v>20181230</v>
      </c>
      <c r="Y42" s="116"/>
      <c r="Z42" s="116" t="s">
        <v>922</v>
      </c>
      <c r="AA42" s="116" t="s">
        <v>105</v>
      </c>
      <c r="AB42" s="116" t="s">
        <v>923</v>
      </c>
      <c r="AC42" s="116" t="s">
        <v>131</v>
      </c>
      <c r="AD42" s="116">
        <v>2017</v>
      </c>
      <c r="AE42" s="116" t="s">
        <v>96</v>
      </c>
      <c r="AF42" s="116" t="s">
        <v>954</v>
      </c>
      <c r="AG42" s="116" t="s">
        <v>1458</v>
      </c>
      <c r="AH42" s="116" t="s">
        <v>1459</v>
      </c>
      <c r="AI42" s="116" t="s">
        <v>119</v>
      </c>
      <c r="AJ42" s="116" t="s">
        <v>1460</v>
      </c>
      <c r="AK42" s="116" t="s">
        <v>131</v>
      </c>
      <c r="AL42" s="116" t="s">
        <v>129</v>
      </c>
      <c r="AM42" s="116" t="s">
        <v>745</v>
      </c>
      <c r="AN42" s="116" t="s">
        <v>746</v>
      </c>
      <c r="AO42" s="120">
        <v>43140</v>
      </c>
      <c r="AP42" s="116" t="s">
        <v>111</v>
      </c>
      <c r="AQ42" s="116">
        <v>33</v>
      </c>
      <c r="AR42" s="121" t="s">
        <v>554</v>
      </c>
      <c r="AS42" s="122">
        <v>43132</v>
      </c>
      <c r="AT42" s="123"/>
      <c r="AU42" s="116"/>
      <c r="AV42" s="124"/>
      <c r="AW42" s="123"/>
      <c r="AX42" s="116" t="s">
        <v>1459</v>
      </c>
    </row>
    <row r="43" spans="1:50" ht="15" hidden="1">
      <c r="A43" s="116" t="s">
        <v>1055</v>
      </c>
      <c r="B43" s="116" t="s">
        <v>90</v>
      </c>
      <c r="C43" s="116" t="s">
        <v>91</v>
      </c>
      <c r="D43" s="117">
        <v>0</v>
      </c>
      <c r="E43" s="118">
        <v>677.46</v>
      </c>
      <c r="F43" s="118">
        <v>0</v>
      </c>
      <c r="G43" s="118">
        <v>0</v>
      </c>
      <c r="H43" s="118">
        <v>15658</v>
      </c>
      <c r="I43" s="118">
        <v>2348.6999999999998</v>
      </c>
      <c r="J43" s="118">
        <v>0</v>
      </c>
      <c r="K43" s="118">
        <v>0</v>
      </c>
      <c r="L43" s="118">
        <v>0</v>
      </c>
      <c r="M43" s="118">
        <v>0</v>
      </c>
      <c r="N43" s="118">
        <v>18006.7</v>
      </c>
      <c r="O43" s="119">
        <v>0</v>
      </c>
      <c r="P43" s="119">
        <v>0</v>
      </c>
      <c r="Q43" s="119">
        <v>0</v>
      </c>
      <c r="R43" s="119">
        <v>15658</v>
      </c>
      <c r="S43" s="119">
        <v>0</v>
      </c>
      <c r="T43" s="116" t="s">
        <v>1056</v>
      </c>
      <c r="U43" s="116" t="s">
        <v>92</v>
      </c>
      <c r="V43" s="116" t="s">
        <v>139</v>
      </c>
      <c r="W43" s="116">
        <v>20171231</v>
      </c>
      <c r="X43" s="116">
        <v>20181230</v>
      </c>
      <c r="Y43" s="116"/>
      <c r="Z43" s="116" t="s">
        <v>922</v>
      </c>
      <c r="AA43" s="116" t="s">
        <v>105</v>
      </c>
      <c r="AB43" s="116" t="s">
        <v>923</v>
      </c>
      <c r="AC43" s="116" t="s">
        <v>106</v>
      </c>
      <c r="AD43" s="116">
        <v>2017</v>
      </c>
      <c r="AE43" s="116" t="s">
        <v>96</v>
      </c>
      <c r="AF43" s="116" t="s">
        <v>954</v>
      </c>
      <c r="AG43" s="116" t="s">
        <v>1295</v>
      </c>
      <c r="AH43" s="116" t="s">
        <v>1296</v>
      </c>
      <c r="AI43" s="116" t="s">
        <v>108</v>
      </c>
      <c r="AJ43" s="116" t="s">
        <v>1297</v>
      </c>
      <c r="AK43" s="116" t="s">
        <v>106</v>
      </c>
      <c r="AL43" s="116" t="s">
        <v>129</v>
      </c>
      <c r="AM43" s="116" t="s">
        <v>683</v>
      </c>
      <c r="AN43" s="116" t="s">
        <v>684</v>
      </c>
      <c r="AO43" s="120">
        <v>43144</v>
      </c>
      <c r="AP43" s="116" t="s">
        <v>111</v>
      </c>
      <c r="AQ43" s="116">
        <v>33</v>
      </c>
      <c r="AR43" s="121" t="s">
        <v>554</v>
      </c>
      <c r="AS43" s="122">
        <v>43132</v>
      </c>
      <c r="AT43" s="123"/>
      <c r="AU43" s="116"/>
      <c r="AV43" s="124"/>
      <c r="AW43" s="123"/>
      <c r="AX43" s="116" t="s">
        <v>1296</v>
      </c>
    </row>
    <row r="44" spans="1:50" ht="15" hidden="1">
      <c r="A44" s="116" t="s">
        <v>1055</v>
      </c>
      <c r="B44" s="116" t="s">
        <v>90</v>
      </c>
      <c r="C44" s="116" t="s">
        <v>91</v>
      </c>
      <c r="D44" s="117">
        <v>0</v>
      </c>
      <c r="E44" s="118">
        <v>655.6</v>
      </c>
      <c r="F44" s="118">
        <v>0</v>
      </c>
      <c r="G44" s="118">
        <v>0</v>
      </c>
      <c r="H44" s="118">
        <v>0</v>
      </c>
      <c r="I44" s="118">
        <v>560.25</v>
      </c>
      <c r="J44" s="118">
        <v>0</v>
      </c>
      <c r="K44" s="118">
        <v>0</v>
      </c>
      <c r="L44" s="118">
        <v>0</v>
      </c>
      <c r="M44" s="118">
        <v>3735</v>
      </c>
      <c r="N44" s="118">
        <v>4295.25</v>
      </c>
      <c r="O44" s="119">
        <v>0</v>
      </c>
      <c r="P44" s="119">
        <v>0</v>
      </c>
      <c r="Q44" s="119">
        <v>0</v>
      </c>
      <c r="R44" s="119">
        <v>0</v>
      </c>
      <c r="S44" s="119">
        <v>0</v>
      </c>
      <c r="T44" s="116" t="s">
        <v>1059</v>
      </c>
      <c r="U44" s="116" t="s">
        <v>92</v>
      </c>
      <c r="V44" s="116" t="s">
        <v>139</v>
      </c>
      <c r="W44" s="116">
        <v>20171231</v>
      </c>
      <c r="X44" s="116">
        <v>20181230</v>
      </c>
      <c r="Y44" s="116"/>
      <c r="Z44" s="116" t="s">
        <v>922</v>
      </c>
      <c r="AA44" s="116" t="s">
        <v>105</v>
      </c>
      <c r="AB44" s="116" t="s">
        <v>923</v>
      </c>
      <c r="AC44" s="116" t="s">
        <v>106</v>
      </c>
      <c r="AD44" s="116">
        <v>2018</v>
      </c>
      <c r="AE44" s="116" t="s">
        <v>96</v>
      </c>
      <c r="AF44" s="116" t="s">
        <v>1721</v>
      </c>
      <c r="AG44" s="116" t="s">
        <v>1722</v>
      </c>
      <c r="AH44" s="116" t="s">
        <v>1723</v>
      </c>
      <c r="AI44" s="116" t="s">
        <v>162</v>
      </c>
      <c r="AJ44" s="116" t="s">
        <v>1724</v>
      </c>
      <c r="AK44" s="116" t="s">
        <v>106</v>
      </c>
      <c r="AL44" s="116" t="s">
        <v>129</v>
      </c>
      <c r="AM44" s="116" t="s">
        <v>831</v>
      </c>
      <c r="AN44" s="116" t="s">
        <v>556</v>
      </c>
      <c r="AO44" s="120">
        <v>43144</v>
      </c>
      <c r="AP44" s="116" t="s">
        <v>111</v>
      </c>
      <c r="AQ44" s="116">
        <v>33</v>
      </c>
      <c r="AR44" s="121" t="s">
        <v>545</v>
      </c>
      <c r="AS44" s="122">
        <v>43132</v>
      </c>
      <c r="AT44" s="123"/>
      <c r="AU44" s="116"/>
      <c r="AV44" s="124"/>
      <c r="AW44" s="123"/>
      <c r="AX44" s="116" t="s">
        <v>1723</v>
      </c>
    </row>
    <row r="45" spans="1:50" ht="15" hidden="1">
      <c r="A45" s="116" t="s">
        <v>1063</v>
      </c>
      <c r="B45" s="116" t="s">
        <v>90</v>
      </c>
      <c r="C45" s="116" t="s">
        <v>91</v>
      </c>
      <c r="D45" s="117">
        <v>0</v>
      </c>
      <c r="E45" s="118">
        <v>0</v>
      </c>
      <c r="F45" s="118">
        <v>0</v>
      </c>
      <c r="G45" s="118">
        <v>0</v>
      </c>
      <c r="H45" s="118">
        <v>24488.34</v>
      </c>
      <c r="I45" s="118">
        <v>2698.7</v>
      </c>
      <c r="J45" s="118">
        <v>0</v>
      </c>
      <c r="K45" s="118">
        <v>-6497</v>
      </c>
      <c r="L45" s="118">
        <v>0</v>
      </c>
      <c r="M45" s="118">
        <v>0</v>
      </c>
      <c r="N45" s="118">
        <v>20690.04</v>
      </c>
      <c r="O45" s="119">
        <v>24488.34</v>
      </c>
      <c r="P45" s="119">
        <v>0</v>
      </c>
      <c r="Q45" s="119">
        <v>0</v>
      </c>
      <c r="R45" s="119">
        <v>0</v>
      </c>
      <c r="S45" s="119">
        <v>0</v>
      </c>
      <c r="T45" s="116" t="s">
        <v>1064</v>
      </c>
      <c r="U45" s="116" t="s">
        <v>92</v>
      </c>
      <c r="V45" s="116" t="s">
        <v>140</v>
      </c>
      <c r="W45" s="116">
        <v>20171231</v>
      </c>
      <c r="X45" s="116">
        <v>20181230</v>
      </c>
      <c r="Y45" s="116"/>
      <c r="Z45" s="116" t="s">
        <v>922</v>
      </c>
      <c r="AA45" s="116" t="s">
        <v>105</v>
      </c>
      <c r="AB45" s="116" t="s">
        <v>923</v>
      </c>
      <c r="AC45" s="116" t="s">
        <v>98</v>
      </c>
      <c r="AD45" s="116">
        <v>2017</v>
      </c>
      <c r="AE45" s="116" t="s">
        <v>96</v>
      </c>
      <c r="AF45" s="116" t="s">
        <v>954</v>
      </c>
      <c r="AG45" s="116" t="s">
        <v>1327</v>
      </c>
      <c r="AH45" s="116"/>
      <c r="AI45" s="116" t="s">
        <v>119</v>
      </c>
      <c r="AJ45" s="116" t="s">
        <v>1328</v>
      </c>
      <c r="AK45" s="116" t="s">
        <v>98</v>
      </c>
      <c r="AL45" s="116" t="s">
        <v>129</v>
      </c>
      <c r="AM45" s="116" t="s">
        <v>697</v>
      </c>
      <c r="AN45" s="116" t="s">
        <v>698</v>
      </c>
      <c r="AO45" s="120">
        <v>43146</v>
      </c>
      <c r="AP45" s="116" t="s">
        <v>111</v>
      </c>
      <c r="AQ45" s="116">
        <v>33</v>
      </c>
      <c r="AR45" s="125"/>
      <c r="AS45" s="122">
        <v>43132</v>
      </c>
      <c r="AT45" s="123"/>
      <c r="AU45" s="116"/>
      <c r="AV45" s="124"/>
      <c r="AW45" s="123"/>
      <c r="AX45" s="116"/>
    </row>
    <row r="46" spans="1:50" ht="15" hidden="1">
      <c r="A46" s="116" t="s">
        <v>1063</v>
      </c>
      <c r="B46" s="116" t="s">
        <v>90</v>
      </c>
      <c r="C46" s="116" t="s">
        <v>91</v>
      </c>
      <c r="D46" s="117">
        <v>0</v>
      </c>
      <c r="E46" s="118">
        <v>2043.38</v>
      </c>
      <c r="F46" s="118">
        <v>0</v>
      </c>
      <c r="G46" s="118">
        <v>0</v>
      </c>
      <c r="H46" s="118">
        <v>50283.25</v>
      </c>
      <c r="I46" s="118">
        <v>7004.94</v>
      </c>
      <c r="J46" s="118">
        <v>0</v>
      </c>
      <c r="K46" s="118">
        <v>-6497</v>
      </c>
      <c r="L46" s="118">
        <v>0</v>
      </c>
      <c r="M46" s="118">
        <v>0</v>
      </c>
      <c r="N46" s="118">
        <v>50791.19</v>
      </c>
      <c r="O46" s="119">
        <v>48577.58</v>
      </c>
      <c r="P46" s="119">
        <v>1705.67</v>
      </c>
      <c r="Q46" s="119">
        <v>0</v>
      </c>
      <c r="R46" s="119">
        <v>0</v>
      </c>
      <c r="S46" s="119">
        <v>0</v>
      </c>
      <c r="T46" s="116" t="s">
        <v>1029</v>
      </c>
      <c r="U46" s="116" t="s">
        <v>92</v>
      </c>
      <c r="V46" s="116" t="s">
        <v>140</v>
      </c>
      <c r="W46" s="116">
        <v>20171231</v>
      </c>
      <c r="X46" s="116">
        <v>20181230</v>
      </c>
      <c r="Y46" s="116"/>
      <c r="Z46" s="116" t="s">
        <v>922</v>
      </c>
      <c r="AA46" s="116" t="s">
        <v>105</v>
      </c>
      <c r="AB46" s="116" t="s">
        <v>923</v>
      </c>
      <c r="AC46" s="116" t="s">
        <v>106</v>
      </c>
      <c r="AD46" s="116">
        <v>2016</v>
      </c>
      <c r="AE46" s="116" t="s">
        <v>96</v>
      </c>
      <c r="AF46" s="116" t="s">
        <v>954</v>
      </c>
      <c r="AG46" s="116" t="s">
        <v>1249</v>
      </c>
      <c r="AH46" s="116"/>
      <c r="AI46" s="116" t="s">
        <v>108</v>
      </c>
      <c r="AJ46" s="116" t="s">
        <v>1250</v>
      </c>
      <c r="AK46" s="116" t="s">
        <v>98</v>
      </c>
      <c r="AL46" s="116" t="s">
        <v>110</v>
      </c>
      <c r="AM46" s="116" t="s">
        <v>665</v>
      </c>
      <c r="AN46" s="116" t="s">
        <v>666</v>
      </c>
      <c r="AO46" s="120">
        <v>43147</v>
      </c>
      <c r="AP46" s="116" t="s">
        <v>111</v>
      </c>
      <c r="AQ46" s="116">
        <v>33</v>
      </c>
      <c r="AR46" s="125"/>
      <c r="AS46" s="122">
        <v>43132</v>
      </c>
      <c r="AT46" s="123"/>
      <c r="AU46" s="116"/>
      <c r="AV46" s="124"/>
      <c r="AW46" s="123"/>
      <c r="AX46" s="116"/>
    </row>
    <row r="47" spans="1:50" ht="15" hidden="1">
      <c r="A47" s="116" t="s">
        <v>1063</v>
      </c>
      <c r="B47" s="116" t="s">
        <v>90</v>
      </c>
      <c r="C47" s="116" t="s">
        <v>91</v>
      </c>
      <c r="D47" s="117">
        <v>0</v>
      </c>
      <c r="E47" s="118">
        <v>2687.49</v>
      </c>
      <c r="F47" s="118">
        <v>0</v>
      </c>
      <c r="G47" s="118">
        <v>0</v>
      </c>
      <c r="H47" s="118">
        <v>4764.83</v>
      </c>
      <c r="I47" s="118">
        <v>-1633.98</v>
      </c>
      <c r="J47" s="118">
        <v>0</v>
      </c>
      <c r="K47" s="118">
        <v>-15658</v>
      </c>
      <c r="L47" s="118">
        <v>0</v>
      </c>
      <c r="M47" s="118">
        <v>0</v>
      </c>
      <c r="N47" s="118">
        <v>-12527.15</v>
      </c>
      <c r="O47" s="119">
        <v>4764.83</v>
      </c>
      <c r="P47" s="119">
        <v>0</v>
      </c>
      <c r="Q47" s="119">
        <v>0</v>
      </c>
      <c r="R47" s="119">
        <v>0</v>
      </c>
      <c r="S47" s="119">
        <v>0</v>
      </c>
      <c r="T47" s="116" t="s">
        <v>1069</v>
      </c>
      <c r="U47" s="116" t="s">
        <v>92</v>
      </c>
      <c r="V47" s="116" t="s">
        <v>140</v>
      </c>
      <c r="W47" s="116">
        <v>20171231</v>
      </c>
      <c r="X47" s="116">
        <v>20181230</v>
      </c>
      <c r="Y47" s="116"/>
      <c r="Z47" s="116" t="s">
        <v>922</v>
      </c>
      <c r="AA47" s="116" t="s">
        <v>105</v>
      </c>
      <c r="AB47" s="116" t="s">
        <v>923</v>
      </c>
      <c r="AC47" s="116" t="s">
        <v>131</v>
      </c>
      <c r="AD47" s="116">
        <v>2018</v>
      </c>
      <c r="AE47" s="116" t="s">
        <v>96</v>
      </c>
      <c r="AF47" s="116" t="s">
        <v>1721</v>
      </c>
      <c r="AG47" s="116" t="s">
        <v>1752</v>
      </c>
      <c r="AH47" s="116"/>
      <c r="AI47" s="116" t="s">
        <v>108</v>
      </c>
      <c r="AJ47" s="116" t="s">
        <v>1753</v>
      </c>
      <c r="AK47" s="116" t="s">
        <v>131</v>
      </c>
      <c r="AL47" s="116" t="s">
        <v>129</v>
      </c>
      <c r="AM47" s="116" t="s">
        <v>840</v>
      </c>
      <c r="AN47" s="116" t="s">
        <v>841</v>
      </c>
      <c r="AO47" s="120">
        <v>43147</v>
      </c>
      <c r="AP47" s="116" t="s">
        <v>111</v>
      </c>
      <c r="AQ47" s="116">
        <v>33</v>
      </c>
      <c r="AR47" s="123"/>
      <c r="AS47" s="122">
        <v>43132</v>
      </c>
      <c r="AT47" s="123"/>
      <c r="AU47" s="116"/>
      <c r="AV47" s="124"/>
      <c r="AW47" s="123"/>
      <c r="AX47" s="116"/>
    </row>
    <row r="48" spans="1:50" ht="15" hidden="1">
      <c r="A48" s="116" t="s">
        <v>1072</v>
      </c>
      <c r="B48" s="116" t="s">
        <v>90</v>
      </c>
      <c r="C48" s="116" t="s">
        <v>91</v>
      </c>
      <c r="D48" s="117">
        <v>0</v>
      </c>
      <c r="E48" s="118">
        <v>344.76</v>
      </c>
      <c r="F48" s="118">
        <v>0</v>
      </c>
      <c r="G48" s="118">
        <v>0</v>
      </c>
      <c r="H48" s="118">
        <v>15658</v>
      </c>
      <c r="I48" s="118">
        <v>2348.6999999999998</v>
      </c>
      <c r="J48" s="118">
        <v>0</v>
      </c>
      <c r="K48" s="118">
        <v>0</v>
      </c>
      <c r="L48" s="118">
        <v>0</v>
      </c>
      <c r="M48" s="118">
        <v>0</v>
      </c>
      <c r="N48" s="118">
        <v>18006.7</v>
      </c>
      <c r="O48" s="119">
        <v>0</v>
      </c>
      <c r="P48" s="119">
        <v>0</v>
      </c>
      <c r="Q48" s="119">
        <v>0</v>
      </c>
      <c r="R48" s="119">
        <v>15658</v>
      </c>
      <c r="S48" s="119">
        <v>0</v>
      </c>
      <c r="T48" s="116" t="s">
        <v>1073</v>
      </c>
      <c r="U48" s="116" t="s">
        <v>92</v>
      </c>
      <c r="V48" s="116" t="s">
        <v>143</v>
      </c>
      <c r="W48" s="116">
        <v>20171231</v>
      </c>
      <c r="X48" s="116">
        <v>20181230</v>
      </c>
      <c r="Y48" s="116"/>
      <c r="Z48" s="116" t="s">
        <v>922</v>
      </c>
      <c r="AA48" s="116" t="s">
        <v>105</v>
      </c>
      <c r="AB48" s="116" t="s">
        <v>923</v>
      </c>
      <c r="AC48" s="116" t="s">
        <v>106</v>
      </c>
      <c r="AD48" s="116">
        <v>2017</v>
      </c>
      <c r="AE48" s="116" t="s">
        <v>96</v>
      </c>
      <c r="AF48" s="116" t="s">
        <v>954</v>
      </c>
      <c r="AG48" s="116" t="s">
        <v>1653</v>
      </c>
      <c r="AH48" s="116"/>
      <c r="AI48" s="116" t="s">
        <v>119</v>
      </c>
      <c r="AJ48" s="116" t="s">
        <v>1654</v>
      </c>
      <c r="AK48" s="116" t="s">
        <v>106</v>
      </c>
      <c r="AL48" s="116" t="s">
        <v>129</v>
      </c>
      <c r="AM48" s="116" t="s">
        <v>808</v>
      </c>
      <c r="AN48" s="116" t="s">
        <v>809</v>
      </c>
      <c r="AO48" s="120">
        <v>43151</v>
      </c>
      <c r="AP48" s="116" t="s">
        <v>111</v>
      </c>
      <c r="AQ48" s="116">
        <v>33</v>
      </c>
      <c r="AR48" s="125"/>
      <c r="AS48" s="122">
        <v>43132</v>
      </c>
      <c r="AT48" s="123"/>
      <c r="AU48" s="116"/>
      <c r="AV48" s="124"/>
      <c r="AW48" s="123"/>
      <c r="AX48" s="116"/>
    </row>
    <row r="49" spans="1:50" ht="15" hidden="1">
      <c r="A49" s="116" t="s">
        <v>1076</v>
      </c>
      <c r="B49" s="116" t="s">
        <v>90</v>
      </c>
      <c r="C49" s="116" t="s">
        <v>91</v>
      </c>
      <c r="D49" s="117">
        <v>0</v>
      </c>
      <c r="E49" s="118">
        <v>1251.3499999999999</v>
      </c>
      <c r="F49" s="118">
        <v>0</v>
      </c>
      <c r="G49" s="118">
        <v>0</v>
      </c>
      <c r="H49" s="118">
        <v>39450.550000000003</v>
      </c>
      <c r="I49" s="118">
        <v>4943.1499999999996</v>
      </c>
      <c r="J49" s="118">
        <v>0</v>
      </c>
      <c r="K49" s="118">
        <v>-6496.25</v>
      </c>
      <c r="L49" s="118">
        <v>0</v>
      </c>
      <c r="M49" s="118">
        <v>0</v>
      </c>
      <c r="N49" s="118">
        <v>37897.449999999997</v>
      </c>
      <c r="O49" s="119">
        <v>39450.550000000003</v>
      </c>
      <c r="P49" s="119">
        <v>0</v>
      </c>
      <c r="Q49" s="119">
        <v>0</v>
      </c>
      <c r="R49" s="119">
        <v>0</v>
      </c>
      <c r="S49" s="119">
        <v>0</v>
      </c>
      <c r="T49" s="116" t="s">
        <v>953</v>
      </c>
      <c r="U49" s="116" t="s">
        <v>92</v>
      </c>
      <c r="V49" s="116" t="s">
        <v>145</v>
      </c>
      <c r="W49" s="116">
        <v>20171231</v>
      </c>
      <c r="X49" s="116">
        <v>20181230</v>
      </c>
      <c r="Y49" s="116"/>
      <c r="Z49" s="116" t="s">
        <v>922</v>
      </c>
      <c r="AA49" s="116" t="s">
        <v>105</v>
      </c>
      <c r="AB49" s="116" t="s">
        <v>923</v>
      </c>
      <c r="AC49" s="116" t="s">
        <v>131</v>
      </c>
      <c r="AD49" s="116">
        <v>2016</v>
      </c>
      <c r="AE49" s="116" t="s">
        <v>96</v>
      </c>
      <c r="AF49" s="116" t="s">
        <v>954</v>
      </c>
      <c r="AG49" s="116" t="s">
        <v>1065</v>
      </c>
      <c r="AH49" s="116"/>
      <c r="AI49" s="116" t="s">
        <v>162</v>
      </c>
      <c r="AJ49" s="116" t="s">
        <v>1066</v>
      </c>
      <c r="AK49" s="116" t="s">
        <v>131</v>
      </c>
      <c r="AL49" s="116" t="s">
        <v>129</v>
      </c>
      <c r="AM49" s="116" t="s">
        <v>595</v>
      </c>
      <c r="AN49" s="116" t="s">
        <v>596</v>
      </c>
      <c r="AO49" s="120">
        <v>43152</v>
      </c>
      <c r="AP49" s="116" t="s">
        <v>111</v>
      </c>
      <c r="AQ49" s="116">
        <v>33</v>
      </c>
      <c r="AR49" s="125"/>
      <c r="AS49" s="122">
        <v>43132</v>
      </c>
      <c r="AT49" s="123"/>
      <c r="AU49" s="116"/>
      <c r="AV49" s="124"/>
      <c r="AW49" s="123"/>
      <c r="AX49" s="116"/>
    </row>
    <row r="50" spans="1:50" ht="15" hidden="1">
      <c r="A50" s="116" t="s">
        <v>1080</v>
      </c>
      <c r="B50" s="116" t="s">
        <v>90</v>
      </c>
      <c r="C50" s="116" t="s">
        <v>91</v>
      </c>
      <c r="D50" s="117">
        <v>0</v>
      </c>
      <c r="E50" s="118">
        <v>408.05</v>
      </c>
      <c r="F50" s="118">
        <v>0</v>
      </c>
      <c r="G50" s="118">
        <v>0</v>
      </c>
      <c r="H50" s="118">
        <v>0</v>
      </c>
      <c r="I50" s="118">
        <v>-375.3</v>
      </c>
      <c r="J50" s="118">
        <v>0</v>
      </c>
      <c r="K50" s="118">
        <v>-3000</v>
      </c>
      <c r="L50" s="118">
        <v>0</v>
      </c>
      <c r="M50" s="118">
        <v>498</v>
      </c>
      <c r="N50" s="118">
        <v>-2877.3</v>
      </c>
      <c r="O50" s="119">
        <v>0</v>
      </c>
      <c r="P50" s="119">
        <v>0</v>
      </c>
      <c r="Q50" s="119">
        <v>0</v>
      </c>
      <c r="R50" s="119">
        <v>0</v>
      </c>
      <c r="S50" s="119">
        <v>0</v>
      </c>
      <c r="T50" s="116" t="s">
        <v>1081</v>
      </c>
      <c r="U50" s="116" t="s">
        <v>92</v>
      </c>
      <c r="V50" s="116" t="s">
        <v>146</v>
      </c>
      <c r="W50" s="116">
        <v>20171231</v>
      </c>
      <c r="X50" s="116">
        <v>20181230</v>
      </c>
      <c r="Y50" s="116"/>
      <c r="Z50" s="116" t="s">
        <v>922</v>
      </c>
      <c r="AA50" s="116" t="s">
        <v>105</v>
      </c>
      <c r="AB50" s="116" t="s">
        <v>923</v>
      </c>
      <c r="AC50" s="116" t="s">
        <v>112</v>
      </c>
      <c r="AD50" s="116">
        <v>2017</v>
      </c>
      <c r="AE50" s="116" t="s">
        <v>96</v>
      </c>
      <c r="AF50" s="116" t="s">
        <v>954</v>
      </c>
      <c r="AG50" s="116" t="s">
        <v>1521</v>
      </c>
      <c r="AH50" s="116" t="s">
        <v>433</v>
      </c>
      <c r="AI50" s="116" t="s">
        <v>162</v>
      </c>
      <c r="AJ50" s="116" t="s">
        <v>1522</v>
      </c>
      <c r="AK50" s="116" t="s">
        <v>112</v>
      </c>
      <c r="AL50" s="116" t="s">
        <v>129</v>
      </c>
      <c r="AM50" s="116" t="s">
        <v>760</v>
      </c>
      <c r="AN50" s="116" t="s">
        <v>761</v>
      </c>
      <c r="AO50" s="120">
        <v>43152</v>
      </c>
      <c r="AP50" s="116" t="s">
        <v>427</v>
      </c>
      <c r="AQ50" s="116">
        <v>33</v>
      </c>
      <c r="AR50" s="125"/>
      <c r="AS50" s="122">
        <v>43132</v>
      </c>
      <c r="AT50" s="123"/>
      <c r="AU50" s="116"/>
      <c r="AV50" s="124"/>
      <c r="AW50" s="123"/>
      <c r="AX50" s="116" t="s">
        <v>433</v>
      </c>
    </row>
    <row r="51" spans="1:50" ht="15" hidden="1">
      <c r="A51" s="116" t="s">
        <v>1085</v>
      </c>
      <c r="B51" s="116" t="s">
        <v>90</v>
      </c>
      <c r="C51" s="116" t="s">
        <v>91</v>
      </c>
      <c r="D51" s="117">
        <v>0</v>
      </c>
      <c r="E51" s="118">
        <v>829.7</v>
      </c>
      <c r="F51" s="118">
        <v>0</v>
      </c>
      <c r="G51" s="118">
        <v>0</v>
      </c>
      <c r="H51" s="118">
        <v>15658</v>
      </c>
      <c r="I51" s="118">
        <v>2348.6999999999998</v>
      </c>
      <c r="J51" s="118">
        <v>0</v>
      </c>
      <c r="K51" s="118">
        <v>0</v>
      </c>
      <c r="L51" s="118">
        <v>0</v>
      </c>
      <c r="M51" s="118">
        <v>0</v>
      </c>
      <c r="N51" s="118">
        <v>18006.7</v>
      </c>
      <c r="O51" s="119">
        <v>0</v>
      </c>
      <c r="P51" s="119">
        <v>0</v>
      </c>
      <c r="Q51" s="119">
        <v>0</v>
      </c>
      <c r="R51" s="119">
        <v>15658</v>
      </c>
      <c r="S51" s="119">
        <v>0</v>
      </c>
      <c r="T51" s="116" t="s">
        <v>1086</v>
      </c>
      <c r="U51" s="116" t="s">
        <v>92</v>
      </c>
      <c r="V51" s="116" t="s">
        <v>147</v>
      </c>
      <c r="W51" s="116">
        <v>20171231</v>
      </c>
      <c r="X51" s="116">
        <v>20181230</v>
      </c>
      <c r="Y51" s="116"/>
      <c r="Z51" s="116" t="s">
        <v>922</v>
      </c>
      <c r="AA51" s="116" t="s">
        <v>105</v>
      </c>
      <c r="AB51" s="116" t="s">
        <v>923</v>
      </c>
      <c r="AC51" s="116" t="s">
        <v>106</v>
      </c>
      <c r="AD51" s="116">
        <v>2017</v>
      </c>
      <c r="AE51" s="116" t="s">
        <v>96</v>
      </c>
      <c r="AF51" s="116" t="s">
        <v>954</v>
      </c>
      <c r="AG51" s="116" t="s">
        <v>1497</v>
      </c>
      <c r="AH51" s="116"/>
      <c r="AI51" s="116" t="s">
        <v>119</v>
      </c>
      <c r="AJ51" s="116" t="s">
        <v>1498</v>
      </c>
      <c r="AK51" s="116" t="s">
        <v>106</v>
      </c>
      <c r="AL51" s="116" t="s">
        <v>129</v>
      </c>
      <c r="AM51" s="116" t="s">
        <v>389</v>
      </c>
      <c r="AN51" s="116" t="s">
        <v>755</v>
      </c>
      <c r="AO51" s="120">
        <v>43155</v>
      </c>
      <c r="AP51" s="116" t="s">
        <v>111</v>
      </c>
      <c r="AQ51" s="116">
        <v>33</v>
      </c>
      <c r="AR51" s="125"/>
      <c r="AS51" s="122">
        <v>43132</v>
      </c>
      <c r="AT51" s="123"/>
      <c r="AU51" s="116"/>
      <c r="AV51" s="124"/>
      <c r="AW51" s="123"/>
      <c r="AX51" s="116"/>
    </row>
    <row r="52" spans="1:50" ht="15" hidden="1">
      <c r="A52" s="116" t="s">
        <v>1090</v>
      </c>
      <c r="B52" s="116" t="s">
        <v>90</v>
      </c>
      <c r="C52" s="116" t="s">
        <v>91</v>
      </c>
      <c r="D52" s="117">
        <v>0</v>
      </c>
      <c r="E52" s="118">
        <v>2542.14</v>
      </c>
      <c r="F52" s="118">
        <v>0</v>
      </c>
      <c r="G52" s="118">
        <v>0</v>
      </c>
      <c r="H52" s="118">
        <v>9663.69</v>
      </c>
      <c r="I52" s="118">
        <v>-1546.62</v>
      </c>
      <c r="J52" s="118">
        <v>0</v>
      </c>
      <c r="K52" s="118">
        <v>-20808</v>
      </c>
      <c r="L52" s="118">
        <v>0</v>
      </c>
      <c r="M52" s="118">
        <v>833.5</v>
      </c>
      <c r="N52" s="118">
        <v>-11857.43</v>
      </c>
      <c r="O52" s="119">
        <v>4513.6899999999996</v>
      </c>
      <c r="P52" s="119">
        <v>5150</v>
      </c>
      <c r="Q52" s="119">
        <v>0</v>
      </c>
      <c r="R52" s="119">
        <v>0</v>
      </c>
      <c r="S52" s="119">
        <v>0</v>
      </c>
      <c r="T52" s="116" t="s">
        <v>1091</v>
      </c>
      <c r="U52" s="116" t="s">
        <v>92</v>
      </c>
      <c r="V52" s="116" t="s">
        <v>148</v>
      </c>
      <c r="W52" s="116">
        <v>20171231</v>
      </c>
      <c r="X52" s="116">
        <v>20181230</v>
      </c>
      <c r="Y52" s="116"/>
      <c r="Z52" s="116" t="s">
        <v>922</v>
      </c>
      <c r="AA52" s="116" t="s">
        <v>105</v>
      </c>
      <c r="AB52" s="116" t="s">
        <v>1210</v>
      </c>
      <c r="AC52" s="116" t="s">
        <v>106</v>
      </c>
      <c r="AD52" s="116">
        <v>2018</v>
      </c>
      <c r="AE52" s="116" t="s">
        <v>96</v>
      </c>
      <c r="AF52" s="116" t="s">
        <v>1211</v>
      </c>
      <c r="AG52" s="116" t="s">
        <v>1790</v>
      </c>
      <c r="AH52" s="116"/>
      <c r="AI52" s="116" t="s">
        <v>162</v>
      </c>
      <c r="AJ52" s="116" t="s">
        <v>1791</v>
      </c>
      <c r="AK52" s="116" t="s">
        <v>551</v>
      </c>
      <c r="AL52" s="116" t="s">
        <v>129</v>
      </c>
      <c r="AM52" s="116" t="s">
        <v>438</v>
      </c>
      <c r="AN52" s="116" t="s">
        <v>852</v>
      </c>
      <c r="AO52" s="120">
        <v>43155</v>
      </c>
      <c r="AP52" s="116" t="s">
        <v>111</v>
      </c>
      <c r="AQ52" s="116">
        <v>33</v>
      </c>
      <c r="AR52" s="125"/>
      <c r="AS52" s="122">
        <v>43132</v>
      </c>
      <c r="AT52" s="123"/>
      <c r="AU52" s="116"/>
      <c r="AV52" s="124"/>
      <c r="AW52" s="123"/>
      <c r="AX52" s="116"/>
    </row>
    <row r="53" spans="1:50" ht="15" hidden="1">
      <c r="A53" s="116" t="s">
        <v>1090</v>
      </c>
      <c r="B53" s="116" t="s">
        <v>90</v>
      </c>
      <c r="C53" s="116" t="s">
        <v>91</v>
      </c>
      <c r="D53" s="117">
        <v>0</v>
      </c>
      <c r="E53" s="118">
        <v>620.03</v>
      </c>
      <c r="F53" s="118">
        <v>0</v>
      </c>
      <c r="G53" s="118">
        <v>0</v>
      </c>
      <c r="H53" s="118">
        <v>0</v>
      </c>
      <c r="I53" s="118">
        <v>-1305.45</v>
      </c>
      <c r="J53" s="118">
        <v>0</v>
      </c>
      <c r="K53" s="118">
        <v>-15658</v>
      </c>
      <c r="L53" s="118">
        <v>0</v>
      </c>
      <c r="M53" s="118">
        <v>3735</v>
      </c>
      <c r="N53" s="118">
        <v>-13228.45</v>
      </c>
      <c r="O53" s="119">
        <v>0</v>
      </c>
      <c r="P53" s="119">
        <v>0</v>
      </c>
      <c r="Q53" s="119">
        <v>0</v>
      </c>
      <c r="R53" s="119">
        <v>0</v>
      </c>
      <c r="S53" s="119">
        <v>0</v>
      </c>
      <c r="T53" s="116" t="s">
        <v>1094</v>
      </c>
      <c r="U53" s="116" t="s">
        <v>92</v>
      </c>
      <c r="V53" s="116" t="s">
        <v>148</v>
      </c>
      <c r="W53" s="116">
        <v>20171231</v>
      </c>
      <c r="X53" s="116">
        <v>20181230</v>
      </c>
      <c r="Y53" s="116"/>
      <c r="Z53" s="116" t="s">
        <v>922</v>
      </c>
      <c r="AA53" s="116" t="s">
        <v>105</v>
      </c>
      <c r="AB53" s="116" t="s">
        <v>923</v>
      </c>
      <c r="AC53" s="116" t="s">
        <v>106</v>
      </c>
      <c r="AD53" s="116">
        <v>2017</v>
      </c>
      <c r="AE53" s="116" t="s">
        <v>96</v>
      </c>
      <c r="AF53" s="116" t="s">
        <v>954</v>
      </c>
      <c r="AG53" s="116" t="s">
        <v>1565</v>
      </c>
      <c r="AH53" s="116"/>
      <c r="AI53" s="116" t="s">
        <v>119</v>
      </c>
      <c r="AJ53" s="116" t="s">
        <v>1566</v>
      </c>
      <c r="AK53" s="116" t="s">
        <v>551</v>
      </c>
      <c r="AL53" s="116" t="s">
        <v>129</v>
      </c>
      <c r="AM53" s="116" t="s">
        <v>775</v>
      </c>
      <c r="AN53" s="116" t="s">
        <v>776</v>
      </c>
      <c r="AO53" s="120">
        <v>43157</v>
      </c>
      <c r="AP53" s="116" t="s">
        <v>111</v>
      </c>
      <c r="AQ53" s="116">
        <v>33</v>
      </c>
      <c r="AR53" s="125"/>
      <c r="AS53" s="122">
        <v>43132</v>
      </c>
      <c r="AT53" s="123"/>
      <c r="AU53" s="116"/>
      <c r="AV53" s="124"/>
      <c r="AW53" s="123"/>
      <c r="AX53" s="116"/>
    </row>
    <row r="54" spans="1:50" ht="15" hidden="1">
      <c r="A54" s="116" t="s">
        <v>1098</v>
      </c>
      <c r="B54" s="116" t="s">
        <v>90</v>
      </c>
      <c r="C54" s="116" t="s">
        <v>91</v>
      </c>
      <c r="D54" s="117">
        <v>0</v>
      </c>
      <c r="E54" s="118">
        <v>2760.3</v>
      </c>
      <c r="F54" s="118">
        <v>0</v>
      </c>
      <c r="G54" s="118">
        <v>0</v>
      </c>
      <c r="H54" s="118">
        <v>35955.06</v>
      </c>
      <c r="I54" s="118">
        <v>0</v>
      </c>
      <c r="J54" s="118">
        <v>0</v>
      </c>
      <c r="K54" s="118">
        <v>-35955.06</v>
      </c>
      <c r="L54" s="118">
        <v>0</v>
      </c>
      <c r="M54" s="118">
        <v>0</v>
      </c>
      <c r="N54" s="118">
        <v>0</v>
      </c>
      <c r="O54" s="119">
        <v>32708.32</v>
      </c>
      <c r="P54" s="119">
        <v>3246.74</v>
      </c>
      <c r="Q54" s="119">
        <v>0</v>
      </c>
      <c r="R54" s="119">
        <v>0</v>
      </c>
      <c r="S54" s="119">
        <v>0</v>
      </c>
      <c r="T54" s="116" t="s">
        <v>1099</v>
      </c>
      <c r="U54" s="116" t="s">
        <v>92</v>
      </c>
      <c r="V54" s="116" t="s">
        <v>149</v>
      </c>
      <c r="W54" s="116">
        <v>20171231</v>
      </c>
      <c r="X54" s="116">
        <v>20181230</v>
      </c>
      <c r="Y54" s="116"/>
      <c r="Z54" s="116" t="s">
        <v>922</v>
      </c>
      <c r="AA54" s="116" t="s">
        <v>105</v>
      </c>
      <c r="AB54" s="116" t="s">
        <v>923</v>
      </c>
      <c r="AC54" s="116" t="s">
        <v>128</v>
      </c>
      <c r="AD54" s="116">
        <v>2017</v>
      </c>
      <c r="AE54" s="116" t="s">
        <v>96</v>
      </c>
      <c r="AF54" s="116" t="s">
        <v>954</v>
      </c>
      <c r="AG54" s="116" t="s">
        <v>1317</v>
      </c>
      <c r="AH54" s="116" t="s">
        <v>191</v>
      </c>
      <c r="AI54" s="116" t="s">
        <v>119</v>
      </c>
      <c r="AJ54" s="116" t="s">
        <v>1318</v>
      </c>
      <c r="AK54" s="116" t="s">
        <v>128</v>
      </c>
      <c r="AL54" s="116" t="s">
        <v>129</v>
      </c>
      <c r="AM54" s="116" t="s">
        <v>691</v>
      </c>
      <c r="AN54" s="116" t="s">
        <v>692</v>
      </c>
      <c r="AO54" s="120">
        <v>43158</v>
      </c>
      <c r="AP54" s="116" t="s">
        <v>111</v>
      </c>
      <c r="AQ54" s="116">
        <v>33</v>
      </c>
      <c r="AR54" s="121" t="s">
        <v>554</v>
      </c>
      <c r="AS54" s="122">
        <v>43132</v>
      </c>
      <c r="AT54" s="123"/>
      <c r="AU54" s="116"/>
      <c r="AV54" s="124"/>
      <c r="AW54" s="123"/>
      <c r="AX54" s="116" t="s">
        <v>191</v>
      </c>
    </row>
    <row r="55" spans="1:50" ht="15" hidden="1">
      <c r="A55" s="116" t="s">
        <v>1103</v>
      </c>
      <c r="B55" s="116" t="s">
        <v>90</v>
      </c>
      <c r="C55" s="116" t="s">
        <v>91</v>
      </c>
      <c r="D55" s="117">
        <v>0</v>
      </c>
      <c r="E55" s="118">
        <v>2233.67</v>
      </c>
      <c r="F55" s="118">
        <v>0</v>
      </c>
      <c r="G55" s="118">
        <v>0</v>
      </c>
      <c r="H55" s="118">
        <v>6478.98</v>
      </c>
      <c r="I55" s="118">
        <v>-893.85</v>
      </c>
      <c r="J55" s="118">
        <v>0</v>
      </c>
      <c r="K55" s="118">
        <v>-15658</v>
      </c>
      <c r="L55" s="118">
        <v>0</v>
      </c>
      <c r="M55" s="118">
        <v>0</v>
      </c>
      <c r="N55" s="118">
        <v>-10072.870000000001</v>
      </c>
      <c r="O55" s="119">
        <v>6478.98</v>
      </c>
      <c r="P55" s="119">
        <v>0</v>
      </c>
      <c r="Q55" s="119">
        <v>0</v>
      </c>
      <c r="R55" s="119">
        <v>0</v>
      </c>
      <c r="S55" s="119">
        <v>0</v>
      </c>
      <c r="T55" s="116" t="s">
        <v>1104</v>
      </c>
      <c r="U55" s="116" t="s">
        <v>92</v>
      </c>
      <c r="V55" s="116" t="s">
        <v>150</v>
      </c>
      <c r="W55" s="116">
        <v>20171231</v>
      </c>
      <c r="X55" s="116">
        <v>20181230</v>
      </c>
      <c r="Y55" s="116"/>
      <c r="Z55" s="116" t="s">
        <v>922</v>
      </c>
      <c r="AA55" s="116" t="s">
        <v>105</v>
      </c>
      <c r="AB55" s="116" t="s">
        <v>923</v>
      </c>
      <c r="AC55" s="116" t="s">
        <v>106</v>
      </c>
      <c r="AD55" s="116">
        <v>2017</v>
      </c>
      <c r="AE55" s="116" t="s">
        <v>96</v>
      </c>
      <c r="AF55" s="116" t="s">
        <v>954</v>
      </c>
      <c r="AG55" s="116" t="s">
        <v>1288</v>
      </c>
      <c r="AH55" s="116"/>
      <c r="AI55" s="116" t="s">
        <v>108</v>
      </c>
      <c r="AJ55" s="116" t="s">
        <v>1289</v>
      </c>
      <c r="AK55" s="116" t="s">
        <v>106</v>
      </c>
      <c r="AL55" s="116" t="s">
        <v>110</v>
      </c>
      <c r="AM55" s="116" t="s">
        <v>679</v>
      </c>
      <c r="AN55" s="116" t="s">
        <v>680</v>
      </c>
      <c r="AO55" s="120">
        <v>43160</v>
      </c>
      <c r="AP55" s="116" t="s">
        <v>111</v>
      </c>
      <c r="AQ55" s="116">
        <v>33</v>
      </c>
      <c r="AR55" s="125"/>
      <c r="AS55" s="122">
        <v>43160</v>
      </c>
      <c r="AT55" s="123"/>
      <c r="AU55" s="116"/>
      <c r="AV55" s="124"/>
      <c r="AW55" s="123"/>
      <c r="AX55" s="116"/>
    </row>
    <row r="56" spans="1:50" ht="15" hidden="1">
      <c r="A56" s="116" t="s">
        <v>1108</v>
      </c>
      <c r="B56" s="116" t="s">
        <v>90</v>
      </c>
      <c r="C56" s="116" t="s">
        <v>91</v>
      </c>
      <c r="D56" s="117">
        <v>0</v>
      </c>
      <c r="E56" s="118">
        <v>4163.43</v>
      </c>
      <c r="F56" s="118">
        <v>0</v>
      </c>
      <c r="G56" s="118">
        <v>0</v>
      </c>
      <c r="H56" s="118">
        <v>44178.96</v>
      </c>
      <c r="I56" s="118">
        <v>21098.07</v>
      </c>
      <c r="J56" s="118">
        <v>0</v>
      </c>
      <c r="K56" s="118">
        <v>-59747.53</v>
      </c>
      <c r="L56" s="118">
        <v>0</v>
      </c>
      <c r="M56" s="118">
        <v>0</v>
      </c>
      <c r="N56" s="118">
        <v>5529.5</v>
      </c>
      <c r="O56" s="119">
        <v>35422.67</v>
      </c>
      <c r="P56" s="119">
        <v>8756.2900000000009</v>
      </c>
      <c r="Q56" s="119">
        <v>0</v>
      </c>
      <c r="R56" s="119">
        <v>0</v>
      </c>
      <c r="S56" s="119">
        <v>0</v>
      </c>
      <c r="T56" s="116" t="s">
        <v>964</v>
      </c>
      <c r="U56" s="116" t="s">
        <v>92</v>
      </c>
      <c r="V56" s="116" t="s">
        <v>151</v>
      </c>
      <c r="W56" s="116">
        <v>20171231</v>
      </c>
      <c r="X56" s="116">
        <v>20181230</v>
      </c>
      <c r="Y56" s="116"/>
      <c r="Z56" s="116" t="s">
        <v>922</v>
      </c>
      <c r="AA56" s="116" t="s">
        <v>105</v>
      </c>
      <c r="AB56" s="116" t="s">
        <v>923</v>
      </c>
      <c r="AC56" s="116" t="s">
        <v>131</v>
      </c>
      <c r="AD56" s="116">
        <v>2016</v>
      </c>
      <c r="AE56" s="116" t="s">
        <v>96</v>
      </c>
      <c r="AF56" s="116" t="s">
        <v>954</v>
      </c>
      <c r="AG56" s="116" t="s">
        <v>1057</v>
      </c>
      <c r="AH56" s="116" t="s">
        <v>1058</v>
      </c>
      <c r="AI56" s="116" t="s">
        <v>119</v>
      </c>
      <c r="AJ56" s="116" t="s">
        <v>172</v>
      </c>
      <c r="AK56" s="116" t="s">
        <v>131</v>
      </c>
      <c r="AL56" s="116" t="s">
        <v>129</v>
      </c>
      <c r="AM56" s="116" t="s">
        <v>592</v>
      </c>
      <c r="AN56" s="116" t="s">
        <v>593</v>
      </c>
      <c r="AO56" s="120">
        <v>43163</v>
      </c>
      <c r="AP56" s="116" t="s">
        <v>111</v>
      </c>
      <c r="AQ56" s="116">
        <v>33</v>
      </c>
      <c r="AR56" s="121" t="s">
        <v>554</v>
      </c>
      <c r="AS56" s="122">
        <v>43160</v>
      </c>
      <c r="AT56" s="123"/>
      <c r="AU56" s="116"/>
      <c r="AV56" s="124"/>
      <c r="AW56" s="123"/>
      <c r="AX56" s="116" t="s">
        <v>1058</v>
      </c>
    </row>
    <row r="57" spans="1:50" ht="15" hidden="1">
      <c r="A57" s="116" t="s">
        <v>1112</v>
      </c>
      <c r="B57" s="116" t="s">
        <v>90</v>
      </c>
      <c r="C57" s="116" t="s">
        <v>91</v>
      </c>
      <c r="D57" s="117">
        <v>0</v>
      </c>
      <c r="E57" s="118">
        <v>398.53</v>
      </c>
      <c r="F57" s="118">
        <v>5180.93</v>
      </c>
      <c r="G57" s="118">
        <v>5180.93</v>
      </c>
      <c r="H57" s="118">
        <v>0</v>
      </c>
      <c r="I57" s="118">
        <v>0</v>
      </c>
      <c r="J57" s="118">
        <v>0</v>
      </c>
      <c r="K57" s="118">
        <v>0</v>
      </c>
      <c r="L57" s="118">
        <v>0</v>
      </c>
      <c r="M57" s="118">
        <v>0</v>
      </c>
      <c r="N57" s="118">
        <v>0</v>
      </c>
      <c r="O57" s="119">
        <v>0</v>
      </c>
      <c r="P57" s="119">
        <v>0</v>
      </c>
      <c r="Q57" s="119">
        <v>0</v>
      </c>
      <c r="R57" s="119">
        <v>0</v>
      </c>
      <c r="S57" s="119">
        <v>0</v>
      </c>
      <c r="T57" s="116" t="s">
        <v>1113</v>
      </c>
      <c r="U57" s="116" t="s">
        <v>92</v>
      </c>
      <c r="V57" s="116" t="s">
        <v>152</v>
      </c>
      <c r="W57" s="116">
        <v>20171231</v>
      </c>
      <c r="X57" s="116">
        <v>20181230</v>
      </c>
      <c r="Y57" s="116"/>
      <c r="Z57" s="116" t="s">
        <v>922</v>
      </c>
      <c r="AA57" s="116" t="s">
        <v>105</v>
      </c>
      <c r="AB57" s="116" t="s">
        <v>923</v>
      </c>
      <c r="AC57" s="116" t="s">
        <v>114</v>
      </c>
      <c r="AD57" s="116">
        <v>2016</v>
      </c>
      <c r="AE57" s="116" t="s">
        <v>96</v>
      </c>
      <c r="AF57" s="116" t="s">
        <v>954</v>
      </c>
      <c r="AG57" s="116" t="s">
        <v>970</v>
      </c>
      <c r="AH57" s="116"/>
      <c r="AI57" s="116" t="s">
        <v>108</v>
      </c>
      <c r="AJ57" s="116" t="s">
        <v>971</v>
      </c>
      <c r="AK57" s="116" t="s">
        <v>114</v>
      </c>
      <c r="AL57" s="116" t="s">
        <v>110</v>
      </c>
      <c r="AM57" s="116" t="s">
        <v>563</v>
      </c>
      <c r="AN57" s="116" t="s">
        <v>110</v>
      </c>
      <c r="AO57" s="120">
        <v>43164</v>
      </c>
      <c r="AP57" s="116" t="s">
        <v>111</v>
      </c>
      <c r="AQ57" s="116">
        <v>33</v>
      </c>
      <c r="AR57" s="125"/>
      <c r="AS57" s="122">
        <v>43160</v>
      </c>
      <c r="AT57" s="123"/>
      <c r="AU57" s="116"/>
      <c r="AV57" s="124"/>
      <c r="AW57" s="123"/>
      <c r="AX57" s="116"/>
    </row>
    <row r="58" spans="1:50" ht="15" hidden="1">
      <c r="A58" s="116" t="s">
        <v>1116</v>
      </c>
      <c r="B58" s="116" t="s">
        <v>90</v>
      </c>
      <c r="C58" s="116" t="s">
        <v>91</v>
      </c>
      <c r="D58" s="117">
        <v>5310.97</v>
      </c>
      <c r="E58" s="118">
        <v>1342.33</v>
      </c>
      <c r="F58" s="118">
        <v>0</v>
      </c>
      <c r="G58" s="118">
        <v>0</v>
      </c>
      <c r="H58" s="118">
        <v>532.29999999999995</v>
      </c>
      <c r="I58" s="118">
        <v>62.6</v>
      </c>
      <c r="J58" s="118">
        <v>0</v>
      </c>
      <c r="K58" s="118">
        <v>-115</v>
      </c>
      <c r="L58" s="118">
        <v>0</v>
      </c>
      <c r="M58" s="118">
        <v>0</v>
      </c>
      <c r="N58" s="118">
        <v>479.9</v>
      </c>
      <c r="O58" s="119">
        <v>532.29999999999995</v>
      </c>
      <c r="P58" s="119">
        <v>0</v>
      </c>
      <c r="Q58" s="119">
        <v>0</v>
      </c>
      <c r="R58" s="119">
        <v>0</v>
      </c>
      <c r="S58" s="119">
        <v>0</v>
      </c>
      <c r="T58" s="116" t="s">
        <v>1117</v>
      </c>
      <c r="U58" s="116" t="s">
        <v>92</v>
      </c>
      <c r="V58" s="116" t="s">
        <v>153</v>
      </c>
      <c r="W58" s="116">
        <v>20171231</v>
      </c>
      <c r="X58" s="116">
        <v>20181230</v>
      </c>
      <c r="Y58" s="116"/>
      <c r="Z58" s="116" t="s">
        <v>922</v>
      </c>
      <c r="AA58" s="116" t="s">
        <v>105</v>
      </c>
      <c r="AB58" s="116" t="s">
        <v>923</v>
      </c>
      <c r="AC58" s="116" t="s">
        <v>106</v>
      </c>
      <c r="AD58" s="116">
        <v>2017</v>
      </c>
      <c r="AE58" s="116" t="s">
        <v>96</v>
      </c>
      <c r="AF58" s="116" t="s">
        <v>954</v>
      </c>
      <c r="AG58" s="116" t="s">
        <v>1291</v>
      </c>
      <c r="AH58" s="116"/>
      <c r="AI58" s="116" t="s">
        <v>119</v>
      </c>
      <c r="AJ58" s="116" t="s">
        <v>583</v>
      </c>
      <c r="AK58" s="116" t="s">
        <v>106</v>
      </c>
      <c r="AL58" s="116" t="s">
        <v>110</v>
      </c>
      <c r="AM58" s="116" t="s">
        <v>681</v>
      </c>
      <c r="AN58" s="116" t="s">
        <v>682</v>
      </c>
      <c r="AO58" s="120">
        <v>43166</v>
      </c>
      <c r="AP58" s="116" t="s">
        <v>111</v>
      </c>
      <c r="AQ58" s="116">
        <v>33</v>
      </c>
      <c r="AR58" s="125"/>
      <c r="AS58" s="122">
        <v>43160</v>
      </c>
      <c r="AT58" s="123"/>
      <c r="AU58" s="116"/>
      <c r="AV58" s="124"/>
      <c r="AW58" s="123"/>
      <c r="AX58" s="116"/>
    </row>
    <row r="59" spans="1:50" ht="15" hidden="1">
      <c r="A59" s="116" t="s">
        <v>1116</v>
      </c>
      <c r="B59" s="116" t="s">
        <v>90</v>
      </c>
      <c r="C59" s="116" t="s">
        <v>91</v>
      </c>
      <c r="D59" s="117">
        <v>0</v>
      </c>
      <c r="E59" s="118">
        <v>1750.87</v>
      </c>
      <c r="F59" s="118">
        <v>5310.97</v>
      </c>
      <c r="G59" s="118">
        <v>5310.97</v>
      </c>
      <c r="H59" s="118">
        <v>2850</v>
      </c>
      <c r="I59" s="118">
        <v>841.5</v>
      </c>
      <c r="J59" s="118">
        <v>0</v>
      </c>
      <c r="K59" s="118">
        <v>0</v>
      </c>
      <c r="L59" s="118">
        <v>0</v>
      </c>
      <c r="M59" s="118">
        <v>0</v>
      </c>
      <c r="N59" s="118">
        <v>3691.5</v>
      </c>
      <c r="O59" s="119">
        <v>1050</v>
      </c>
      <c r="P59" s="119">
        <v>1800</v>
      </c>
      <c r="Q59" s="119">
        <v>0</v>
      </c>
      <c r="R59" s="119">
        <v>0</v>
      </c>
      <c r="S59" s="119">
        <v>0</v>
      </c>
      <c r="T59" s="116" t="s">
        <v>947</v>
      </c>
      <c r="U59" s="116" t="s">
        <v>92</v>
      </c>
      <c r="V59" s="116" t="s">
        <v>153</v>
      </c>
      <c r="W59" s="116">
        <v>20171231</v>
      </c>
      <c r="X59" s="116">
        <v>20181230</v>
      </c>
      <c r="Y59" s="116"/>
      <c r="Z59" s="116" t="s">
        <v>922</v>
      </c>
      <c r="AA59" s="116" t="s">
        <v>105</v>
      </c>
      <c r="AB59" s="116" t="s">
        <v>923</v>
      </c>
      <c r="AC59" s="116" t="s">
        <v>114</v>
      </c>
      <c r="AD59" s="116">
        <v>2017</v>
      </c>
      <c r="AE59" s="116" t="s">
        <v>96</v>
      </c>
      <c r="AF59" s="116" t="s">
        <v>954</v>
      </c>
      <c r="AG59" s="116" t="s">
        <v>1335</v>
      </c>
      <c r="AH59" s="116" t="s">
        <v>209</v>
      </c>
      <c r="AI59" s="116" t="s">
        <v>119</v>
      </c>
      <c r="AJ59" s="116" t="s">
        <v>1336</v>
      </c>
      <c r="AK59" s="116" t="s">
        <v>114</v>
      </c>
      <c r="AL59" s="116" t="s">
        <v>129</v>
      </c>
      <c r="AM59" s="116" t="s">
        <v>701</v>
      </c>
      <c r="AN59" s="116" t="s">
        <v>702</v>
      </c>
      <c r="AO59" s="120">
        <v>43166</v>
      </c>
      <c r="AP59" s="116" t="s">
        <v>111</v>
      </c>
      <c r="AQ59" s="116">
        <v>33</v>
      </c>
      <c r="AR59" s="121" t="s">
        <v>554</v>
      </c>
      <c r="AS59" s="122">
        <v>43160</v>
      </c>
      <c r="AT59" s="123"/>
      <c r="AU59" s="116"/>
      <c r="AV59" s="124"/>
      <c r="AW59" s="123"/>
      <c r="AX59" s="116" t="s">
        <v>209</v>
      </c>
    </row>
    <row r="60" spans="1:50" ht="15">
      <c r="A60" s="116" t="s">
        <v>1123</v>
      </c>
      <c r="B60" s="116" t="s">
        <v>90</v>
      </c>
      <c r="C60" s="116" t="s">
        <v>91</v>
      </c>
      <c r="D60" s="117">
        <v>0</v>
      </c>
      <c r="E60" s="118">
        <v>1123.69</v>
      </c>
      <c r="F60" s="118">
        <v>0</v>
      </c>
      <c r="G60" s="118">
        <v>0</v>
      </c>
      <c r="H60" s="118">
        <v>1440</v>
      </c>
      <c r="I60" s="118">
        <v>216</v>
      </c>
      <c r="J60" s="118">
        <v>0</v>
      </c>
      <c r="K60" s="118">
        <v>0</v>
      </c>
      <c r="L60" s="118">
        <v>0</v>
      </c>
      <c r="M60" s="118">
        <v>0</v>
      </c>
      <c r="N60" s="118">
        <v>1656</v>
      </c>
      <c r="O60" s="119">
        <v>1440</v>
      </c>
      <c r="P60" s="119">
        <v>0</v>
      </c>
      <c r="Q60" s="119">
        <v>0</v>
      </c>
      <c r="R60" s="119">
        <v>0</v>
      </c>
      <c r="S60" s="119">
        <v>0</v>
      </c>
      <c r="T60" s="116" t="s">
        <v>1124</v>
      </c>
      <c r="U60" s="116" t="s">
        <v>92</v>
      </c>
      <c r="V60" s="116" t="s">
        <v>154</v>
      </c>
      <c r="W60" s="116">
        <v>20171231</v>
      </c>
      <c r="X60" s="116">
        <v>20181230</v>
      </c>
      <c r="Y60" s="116"/>
      <c r="Z60" s="116" t="s">
        <v>922</v>
      </c>
      <c r="AA60" s="116" t="s">
        <v>105</v>
      </c>
      <c r="AB60" s="116" t="s">
        <v>923</v>
      </c>
      <c r="AC60" s="116" t="s">
        <v>98</v>
      </c>
      <c r="AD60" s="116">
        <v>2017</v>
      </c>
      <c r="AE60" s="116" t="s">
        <v>96</v>
      </c>
      <c r="AF60" s="116" t="s">
        <v>954</v>
      </c>
      <c r="AG60" s="116" t="s">
        <v>1382</v>
      </c>
      <c r="AH60" s="116" t="s">
        <v>354</v>
      </c>
      <c r="AI60" s="116" t="s">
        <v>162</v>
      </c>
      <c r="AJ60" s="116" t="s">
        <v>1027</v>
      </c>
      <c r="AK60" s="116" t="s">
        <v>98</v>
      </c>
      <c r="AL60" s="116" t="s">
        <v>129</v>
      </c>
      <c r="AM60" s="116" t="s">
        <v>719</v>
      </c>
      <c r="AN60" s="116" t="s">
        <v>720</v>
      </c>
      <c r="AO60" s="120">
        <v>43166</v>
      </c>
      <c r="AP60" s="116" t="s">
        <v>111</v>
      </c>
      <c r="AQ60" s="116">
        <v>33</v>
      </c>
      <c r="AR60" s="121" t="s">
        <v>554</v>
      </c>
      <c r="AS60" s="122">
        <v>43160</v>
      </c>
      <c r="AT60" s="123"/>
      <c r="AU60" s="116"/>
      <c r="AV60" s="124"/>
      <c r="AW60" s="123"/>
      <c r="AX60" s="116" t="s">
        <v>354</v>
      </c>
    </row>
    <row r="61" spans="1:50" ht="15" hidden="1">
      <c r="A61" s="116" t="s">
        <v>1127</v>
      </c>
      <c r="B61" s="116" t="s">
        <v>90</v>
      </c>
      <c r="C61" s="116" t="s">
        <v>91</v>
      </c>
      <c r="D61" s="117">
        <v>7486.23</v>
      </c>
      <c r="E61" s="118">
        <v>2529.69</v>
      </c>
      <c r="F61" s="118">
        <v>0</v>
      </c>
      <c r="G61" s="118">
        <v>0</v>
      </c>
      <c r="H61" s="118">
        <v>3695.19</v>
      </c>
      <c r="I61" s="118">
        <v>-1794.42</v>
      </c>
      <c r="J61" s="118">
        <v>0</v>
      </c>
      <c r="K61" s="118">
        <v>-15658</v>
      </c>
      <c r="L61" s="118">
        <v>0</v>
      </c>
      <c r="M61" s="118">
        <v>0</v>
      </c>
      <c r="N61" s="118">
        <v>-13757.23</v>
      </c>
      <c r="O61" s="119">
        <v>3695.19</v>
      </c>
      <c r="P61" s="119">
        <v>0</v>
      </c>
      <c r="Q61" s="119">
        <v>0</v>
      </c>
      <c r="R61" s="119">
        <v>0</v>
      </c>
      <c r="S61" s="119">
        <v>0</v>
      </c>
      <c r="T61" s="116" t="s">
        <v>1128</v>
      </c>
      <c r="U61" s="116" t="s">
        <v>92</v>
      </c>
      <c r="V61" s="116" t="s">
        <v>155</v>
      </c>
      <c r="W61" s="116">
        <v>20171231</v>
      </c>
      <c r="X61" s="116">
        <v>20181230</v>
      </c>
      <c r="Y61" s="116"/>
      <c r="Z61" s="116" t="s">
        <v>922</v>
      </c>
      <c r="AA61" s="116" t="s">
        <v>105</v>
      </c>
      <c r="AB61" s="116" t="s">
        <v>923</v>
      </c>
      <c r="AC61" s="116" t="s">
        <v>114</v>
      </c>
      <c r="AD61" s="116">
        <v>2017</v>
      </c>
      <c r="AE61" s="116" t="s">
        <v>96</v>
      </c>
      <c r="AF61" s="116" t="s">
        <v>954</v>
      </c>
      <c r="AG61" s="116" t="s">
        <v>1530</v>
      </c>
      <c r="AH61" s="116" t="s">
        <v>1531</v>
      </c>
      <c r="AI61" s="116" t="s">
        <v>119</v>
      </c>
      <c r="AJ61" s="116" t="s">
        <v>1532</v>
      </c>
      <c r="AK61" s="116" t="s">
        <v>114</v>
      </c>
      <c r="AL61" s="116" t="s">
        <v>129</v>
      </c>
      <c r="AM61" s="116" t="s">
        <v>764</v>
      </c>
      <c r="AN61" s="116" t="s">
        <v>765</v>
      </c>
      <c r="AO61" s="120">
        <v>43167</v>
      </c>
      <c r="AP61" s="116" t="s">
        <v>111</v>
      </c>
      <c r="AQ61" s="116">
        <v>33</v>
      </c>
      <c r="AR61" s="121" t="s">
        <v>554</v>
      </c>
      <c r="AS61" s="122">
        <v>43160</v>
      </c>
      <c r="AT61" s="123"/>
      <c r="AU61" s="116"/>
      <c r="AV61" s="124"/>
      <c r="AW61" s="123"/>
      <c r="AX61" s="116" t="s">
        <v>1531</v>
      </c>
    </row>
    <row r="62" spans="1:50" ht="15" hidden="1">
      <c r="A62" s="116" t="s">
        <v>1127</v>
      </c>
      <c r="B62" s="116" t="s">
        <v>90</v>
      </c>
      <c r="C62" s="116" t="s">
        <v>91</v>
      </c>
      <c r="D62" s="117">
        <v>0</v>
      </c>
      <c r="E62" s="118">
        <v>0</v>
      </c>
      <c r="F62" s="118">
        <v>0</v>
      </c>
      <c r="G62" s="118">
        <v>0</v>
      </c>
      <c r="H62" s="118">
        <v>8529.11</v>
      </c>
      <c r="I62" s="118">
        <v>-1069.33</v>
      </c>
      <c r="J62" s="118">
        <v>0</v>
      </c>
      <c r="K62" s="118">
        <v>-15658</v>
      </c>
      <c r="L62" s="118">
        <v>0</v>
      </c>
      <c r="M62" s="118">
        <v>0</v>
      </c>
      <c r="N62" s="118">
        <v>-8198.2199999999993</v>
      </c>
      <c r="O62" s="119">
        <v>8529.11</v>
      </c>
      <c r="P62" s="119">
        <v>0</v>
      </c>
      <c r="Q62" s="119">
        <v>0</v>
      </c>
      <c r="R62" s="119">
        <v>0</v>
      </c>
      <c r="S62" s="119">
        <v>0</v>
      </c>
      <c r="T62" s="116" t="s">
        <v>1131</v>
      </c>
      <c r="U62" s="116" t="s">
        <v>92</v>
      </c>
      <c r="V62" s="116" t="s">
        <v>155</v>
      </c>
      <c r="W62" s="116">
        <v>20171231</v>
      </c>
      <c r="X62" s="116">
        <v>20181230</v>
      </c>
      <c r="Y62" s="116"/>
      <c r="Z62" s="116" t="s">
        <v>922</v>
      </c>
      <c r="AA62" s="116" t="s">
        <v>105</v>
      </c>
      <c r="AB62" s="116" t="s">
        <v>923</v>
      </c>
      <c r="AC62" s="116" t="s">
        <v>106</v>
      </c>
      <c r="AD62" s="116">
        <v>2017</v>
      </c>
      <c r="AE62" s="116" t="s">
        <v>96</v>
      </c>
      <c r="AF62" s="116" t="s">
        <v>954</v>
      </c>
      <c r="AG62" s="116" t="s">
        <v>1525</v>
      </c>
      <c r="AH62" s="116" t="s">
        <v>1526</v>
      </c>
      <c r="AI62" s="116" t="s">
        <v>108</v>
      </c>
      <c r="AJ62" s="116" t="s">
        <v>1527</v>
      </c>
      <c r="AK62" s="116" t="s">
        <v>106</v>
      </c>
      <c r="AL62" s="116" t="s">
        <v>129</v>
      </c>
      <c r="AM62" s="116" t="s">
        <v>762</v>
      </c>
      <c r="AN62" s="116" t="s">
        <v>763</v>
      </c>
      <c r="AO62" s="120">
        <v>43168</v>
      </c>
      <c r="AP62" s="116" t="s">
        <v>111</v>
      </c>
      <c r="AQ62" s="116">
        <v>33</v>
      </c>
      <c r="AR62" s="121" t="s">
        <v>545</v>
      </c>
      <c r="AS62" s="122">
        <v>43160</v>
      </c>
      <c r="AT62" s="123"/>
      <c r="AU62" s="116"/>
      <c r="AV62" s="124"/>
      <c r="AW62" s="123"/>
      <c r="AX62" s="116" t="s">
        <v>1526</v>
      </c>
    </row>
    <row r="63" spans="1:50" ht="15" hidden="1">
      <c r="A63" s="116" t="s">
        <v>1127</v>
      </c>
      <c r="B63" s="116" t="s">
        <v>90</v>
      </c>
      <c r="C63" s="116" t="s">
        <v>91</v>
      </c>
      <c r="D63" s="117">
        <v>0</v>
      </c>
      <c r="E63" s="118">
        <v>1871.56</v>
      </c>
      <c r="F63" s="118">
        <v>0</v>
      </c>
      <c r="G63" s="118">
        <v>0</v>
      </c>
      <c r="H63" s="118">
        <v>3250</v>
      </c>
      <c r="I63" s="118">
        <v>970.5</v>
      </c>
      <c r="J63" s="118">
        <v>0</v>
      </c>
      <c r="K63" s="118">
        <v>0</v>
      </c>
      <c r="L63" s="118">
        <v>0</v>
      </c>
      <c r="M63" s="118">
        <v>0</v>
      </c>
      <c r="N63" s="118">
        <v>4220.5</v>
      </c>
      <c r="O63" s="119">
        <v>0</v>
      </c>
      <c r="P63" s="119">
        <v>0</v>
      </c>
      <c r="Q63" s="119">
        <v>0</v>
      </c>
      <c r="R63" s="119">
        <v>3250</v>
      </c>
      <c r="S63" s="119">
        <v>0</v>
      </c>
      <c r="T63" s="116" t="s">
        <v>1134</v>
      </c>
      <c r="U63" s="116" t="s">
        <v>92</v>
      </c>
      <c r="V63" s="116" t="s">
        <v>155</v>
      </c>
      <c r="W63" s="116">
        <v>20171231</v>
      </c>
      <c r="X63" s="116">
        <v>20181230</v>
      </c>
      <c r="Y63" s="116"/>
      <c r="Z63" s="116" t="s">
        <v>922</v>
      </c>
      <c r="AA63" s="116" t="s">
        <v>105</v>
      </c>
      <c r="AB63" s="116" t="s">
        <v>1210</v>
      </c>
      <c r="AC63" s="116" t="s">
        <v>106</v>
      </c>
      <c r="AD63" s="116">
        <v>2018</v>
      </c>
      <c r="AE63" s="116" t="s">
        <v>96</v>
      </c>
      <c r="AF63" s="116" t="s">
        <v>1211</v>
      </c>
      <c r="AG63" s="116" t="s">
        <v>1779</v>
      </c>
      <c r="AH63" s="116" t="s">
        <v>1780</v>
      </c>
      <c r="AI63" s="116" t="s">
        <v>119</v>
      </c>
      <c r="AJ63" s="116" t="s">
        <v>1781</v>
      </c>
      <c r="AK63" s="116" t="s">
        <v>114</v>
      </c>
      <c r="AL63" s="116" t="s">
        <v>129</v>
      </c>
      <c r="AM63" s="116" t="s">
        <v>485</v>
      </c>
      <c r="AN63" s="116" t="s">
        <v>849</v>
      </c>
      <c r="AO63" s="120">
        <v>43168</v>
      </c>
      <c r="AP63" s="116" t="s">
        <v>111</v>
      </c>
      <c r="AQ63" s="116">
        <v>33</v>
      </c>
      <c r="AR63" s="125"/>
      <c r="AS63" s="122">
        <v>43160</v>
      </c>
      <c r="AT63" s="123"/>
      <c r="AU63" s="116"/>
      <c r="AV63" s="124"/>
      <c r="AW63" s="123"/>
      <c r="AX63" s="116" t="s">
        <v>1780</v>
      </c>
    </row>
    <row r="64" spans="1:50" ht="15" hidden="1">
      <c r="A64" s="116" t="s">
        <v>1137</v>
      </c>
      <c r="B64" s="116" t="s">
        <v>90</v>
      </c>
      <c r="C64" s="116" t="s">
        <v>91</v>
      </c>
      <c r="D64" s="117">
        <v>0</v>
      </c>
      <c r="E64" s="118">
        <v>1704.27</v>
      </c>
      <c r="F64" s="118">
        <v>0</v>
      </c>
      <c r="G64" s="118">
        <v>0</v>
      </c>
      <c r="H64" s="118">
        <v>18841.21</v>
      </c>
      <c r="I64" s="118">
        <v>672.48</v>
      </c>
      <c r="J64" s="118">
        <v>0</v>
      </c>
      <c r="K64" s="118">
        <v>-15658</v>
      </c>
      <c r="L64" s="118">
        <v>0</v>
      </c>
      <c r="M64" s="118">
        <v>1300</v>
      </c>
      <c r="N64" s="118">
        <v>5155.6899999999996</v>
      </c>
      <c r="O64" s="119">
        <v>17141.21</v>
      </c>
      <c r="P64" s="119">
        <v>1700</v>
      </c>
      <c r="Q64" s="119">
        <v>0</v>
      </c>
      <c r="R64" s="119">
        <v>0</v>
      </c>
      <c r="S64" s="119">
        <v>0</v>
      </c>
      <c r="T64" s="116" t="s">
        <v>1138</v>
      </c>
      <c r="U64" s="116" t="s">
        <v>92</v>
      </c>
      <c r="V64" s="116" t="s">
        <v>157</v>
      </c>
      <c r="W64" s="116">
        <v>20171231</v>
      </c>
      <c r="X64" s="116">
        <v>20181230</v>
      </c>
      <c r="Y64" s="116"/>
      <c r="Z64" s="116" t="s">
        <v>922</v>
      </c>
      <c r="AA64" s="116" t="s">
        <v>105</v>
      </c>
      <c r="AB64" s="116" t="s">
        <v>923</v>
      </c>
      <c r="AC64" s="116" t="s">
        <v>169</v>
      </c>
      <c r="AD64" s="116">
        <v>2017</v>
      </c>
      <c r="AE64" s="116" t="s">
        <v>96</v>
      </c>
      <c r="AF64" s="116" t="s">
        <v>954</v>
      </c>
      <c r="AG64" s="116" t="s">
        <v>1441</v>
      </c>
      <c r="AH64" s="116" t="s">
        <v>1442</v>
      </c>
      <c r="AI64" s="116" t="s">
        <v>108</v>
      </c>
      <c r="AJ64" s="116" t="s">
        <v>333</v>
      </c>
      <c r="AK64" s="116" t="s">
        <v>169</v>
      </c>
      <c r="AL64" s="116" t="s">
        <v>129</v>
      </c>
      <c r="AM64" s="116" t="s">
        <v>430</v>
      </c>
      <c r="AN64" s="116" t="s">
        <v>740</v>
      </c>
      <c r="AO64" s="120">
        <v>43172</v>
      </c>
      <c r="AP64" s="116" t="s">
        <v>111</v>
      </c>
      <c r="AQ64" s="116">
        <v>33</v>
      </c>
      <c r="AR64" s="121" t="s">
        <v>545</v>
      </c>
      <c r="AS64" s="122">
        <v>43160</v>
      </c>
      <c r="AT64" s="123"/>
      <c r="AU64" s="116"/>
      <c r="AV64" s="124"/>
      <c r="AW64" s="123"/>
      <c r="AX64" s="116" t="s">
        <v>1442</v>
      </c>
    </row>
    <row r="65" spans="1:50" ht="15" hidden="1">
      <c r="A65" s="116" t="s">
        <v>1142</v>
      </c>
      <c r="B65" s="116" t="s">
        <v>90</v>
      </c>
      <c r="C65" s="116" t="s">
        <v>91</v>
      </c>
      <c r="D65" s="117">
        <v>0</v>
      </c>
      <c r="E65" s="118">
        <v>1183.3</v>
      </c>
      <c r="F65" s="118">
        <v>0</v>
      </c>
      <c r="G65" s="118">
        <v>0</v>
      </c>
      <c r="H65" s="118">
        <v>0</v>
      </c>
      <c r="I65" s="118">
        <v>0</v>
      </c>
      <c r="J65" s="118">
        <v>0</v>
      </c>
      <c r="K65" s="118">
        <v>0</v>
      </c>
      <c r="L65" s="118">
        <v>0</v>
      </c>
      <c r="M65" s="118">
        <v>0</v>
      </c>
      <c r="N65" s="118">
        <v>0</v>
      </c>
      <c r="O65" s="119">
        <v>0</v>
      </c>
      <c r="P65" s="119">
        <v>0</v>
      </c>
      <c r="Q65" s="119">
        <v>0</v>
      </c>
      <c r="R65" s="119">
        <v>0</v>
      </c>
      <c r="S65" s="119">
        <v>0</v>
      </c>
      <c r="T65" s="116" t="s">
        <v>1143</v>
      </c>
      <c r="U65" s="116" t="s">
        <v>92</v>
      </c>
      <c r="V65" s="116" t="s">
        <v>158</v>
      </c>
      <c r="W65" s="116">
        <v>20171231</v>
      </c>
      <c r="X65" s="116">
        <v>20181230</v>
      </c>
      <c r="Y65" s="116"/>
      <c r="Z65" s="116" t="s">
        <v>922</v>
      </c>
      <c r="AA65" s="116" t="s">
        <v>105</v>
      </c>
      <c r="AB65" s="116" t="s">
        <v>923</v>
      </c>
      <c r="AC65" s="116" t="s">
        <v>142</v>
      </c>
      <c r="AD65" s="116">
        <v>2017</v>
      </c>
      <c r="AE65" s="116" t="s">
        <v>96</v>
      </c>
      <c r="AF65" s="116" t="s">
        <v>954</v>
      </c>
      <c r="AG65" s="116" t="s">
        <v>1661</v>
      </c>
      <c r="AH65" s="116" t="s">
        <v>1662</v>
      </c>
      <c r="AI65" s="116" t="s">
        <v>119</v>
      </c>
      <c r="AJ65" s="116" t="s">
        <v>1663</v>
      </c>
      <c r="AK65" s="116" t="s">
        <v>142</v>
      </c>
      <c r="AL65" s="116" t="s">
        <v>129</v>
      </c>
      <c r="AM65" s="116" t="s">
        <v>651</v>
      </c>
      <c r="AN65" s="116" t="s">
        <v>811</v>
      </c>
      <c r="AO65" s="120">
        <v>43173</v>
      </c>
      <c r="AP65" s="116" t="s">
        <v>111</v>
      </c>
      <c r="AQ65" s="116">
        <v>33</v>
      </c>
      <c r="AR65" s="121" t="s">
        <v>545</v>
      </c>
      <c r="AS65" s="122">
        <v>43160</v>
      </c>
      <c r="AT65" s="123"/>
      <c r="AU65" s="116"/>
      <c r="AV65" s="124"/>
      <c r="AW65" s="123"/>
      <c r="AX65" s="116" t="s">
        <v>1662</v>
      </c>
    </row>
    <row r="66" spans="1:50" ht="15" hidden="1">
      <c r="A66" s="116" t="s">
        <v>1142</v>
      </c>
      <c r="B66" s="116" t="s">
        <v>90</v>
      </c>
      <c r="C66" s="116" t="s">
        <v>91</v>
      </c>
      <c r="D66" s="117">
        <v>0</v>
      </c>
      <c r="E66" s="118">
        <v>572.55999999999995</v>
      </c>
      <c r="F66" s="118">
        <v>0</v>
      </c>
      <c r="G66" s="118">
        <v>0</v>
      </c>
      <c r="H66" s="118">
        <v>0</v>
      </c>
      <c r="I66" s="118">
        <v>0</v>
      </c>
      <c r="J66" s="118">
        <v>0</v>
      </c>
      <c r="K66" s="118">
        <v>0</v>
      </c>
      <c r="L66" s="118">
        <v>0</v>
      </c>
      <c r="M66" s="118">
        <v>0</v>
      </c>
      <c r="N66" s="118">
        <v>0</v>
      </c>
      <c r="O66" s="119">
        <v>0</v>
      </c>
      <c r="P66" s="119">
        <v>0</v>
      </c>
      <c r="Q66" s="119">
        <v>0</v>
      </c>
      <c r="R66" s="119">
        <v>0</v>
      </c>
      <c r="S66" s="119">
        <v>0</v>
      </c>
      <c r="T66" s="116" t="s">
        <v>1147</v>
      </c>
      <c r="U66" s="116" t="s">
        <v>92</v>
      </c>
      <c r="V66" s="116" t="s">
        <v>158</v>
      </c>
      <c r="W66" s="116">
        <v>20171231</v>
      </c>
      <c r="X66" s="116">
        <v>20181230</v>
      </c>
      <c r="Y66" s="116"/>
      <c r="Z66" s="116" t="s">
        <v>922</v>
      </c>
      <c r="AA66" s="116" t="s">
        <v>105</v>
      </c>
      <c r="AB66" s="116" t="s">
        <v>923</v>
      </c>
      <c r="AC66" s="116" t="s">
        <v>114</v>
      </c>
      <c r="AD66" s="116">
        <v>2016</v>
      </c>
      <c r="AE66" s="116" t="s">
        <v>96</v>
      </c>
      <c r="AF66" s="116" t="s">
        <v>954</v>
      </c>
      <c r="AG66" s="116" t="s">
        <v>988</v>
      </c>
      <c r="AH66" s="116" t="s">
        <v>989</v>
      </c>
      <c r="AI66" s="116" t="s">
        <v>162</v>
      </c>
      <c r="AJ66" s="116" t="s">
        <v>990</v>
      </c>
      <c r="AK66" s="116" t="s">
        <v>114</v>
      </c>
      <c r="AL66" s="116" t="s">
        <v>129</v>
      </c>
      <c r="AM66" s="116" t="s">
        <v>569</v>
      </c>
      <c r="AN66" s="116" t="s">
        <v>570</v>
      </c>
      <c r="AO66" s="120">
        <v>43176</v>
      </c>
      <c r="AP66" s="116" t="s">
        <v>111</v>
      </c>
      <c r="AQ66" s="116">
        <v>33</v>
      </c>
      <c r="AR66" s="125"/>
      <c r="AS66" s="122">
        <v>43160</v>
      </c>
      <c r="AT66" s="123"/>
      <c r="AU66" s="116"/>
      <c r="AV66" s="124"/>
      <c r="AW66" s="123"/>
      <c r="AX66" s="116" t="s">
        <v>989</v>
      </c>
    </row>
    <row r="67" spans="1:50" ht="15" hidden="1">
      <c r="A67" s="116" t="s">
        <v>1142</v>
      </c>
      <c r="B67" s="116" t="s">
        <v>90</v>
      </c>
      <c r="C67" s="116" t="s">
        <v>91</v>
      </c>
      <c r="D67" s="117">
        <v>0</v>
      </c>
      <c r="E67" s="118">
        <v>1164.22</v>
      </c>
      <c r="F67" s="118">
        <v>0</v>
      </c>
      <c r="G67" s="118">
        <v>0</v>
      </c>
      <c r="H67" s="118">
        <v>0</v>
      </c>
      <c r="I67" s="118">
        <v>986.7</v>
      </c>
      <c r="J67" s="118">
        <v>0</v>
      </c>
      <c r="K67" s="118">
        <v>0</v>
      </c>
      <c r="L67" s="118">
        <v>0</v>
      </c>
      <c r="M67" s="118">
        <v>6578</v>
      </c>
      <c r="N67" s="118">
        <v>7564.7</v>
      </c>
      <c r="O67" s="119">
        <v>0</v>
      </c>
      <c r="P67" s="119">
        <v>0</v>
      </c>
      <c r="Q67" s="119">
        <v>0</v>
      </c>
      <c r="R67" s="119">
        <v>0</v>
      </c>
      <c r="S67" s="119">
        <v>0</v>
      </c>
      <c r="T67" s="116" t="s">
        <v>1150</v>
      </c>
      <c r="U67" s="116" t="s">
        <v>92</v>
      </c>
      <c r="V67" s="116" t="s">
        <v>158</v>
      </c>
      <c r="W67" s="116">
        <v>20171231</v>
      </c>
      <c r="X67" s="116">
        <v>20181230</v>
      </c>
      <c r="Y67" s="116"/>
      <c r="Z67" s="116" t="s">
        <v>922</v>
      </c>
      <c r="AA67" s="116" t="s">
        <v>105</v>
      </c>
      <c r="AB67" s="116" t="s">
        <v>923</v>
      </c>
      <c r="AC67" s="116" t="s">
        <v>106</v>
      </c>
      <c r="AD67" s="116">
        <v>2016</v>
      </c>
      <c r="AE67" s="116" t="s">
        <v>96</v>
      </c>
      <c r="AF67" s="116" t="s">
        <v>954</v>
      </c>
      <c r="AG67" s="116" t="s">
        <v>1002</v>
      </c>
      <c r="AH67" s="116" t="s">
        <v>1003</v>
      </c>
      <c r="AI67" s="116" t="s">
        <v>162</v>
      </c>
      <c r="AJ67" s="116" t="s">
        <v>1004</v>
      </c>
      <c r="AK67" s="116" t="s">
        <v>551</v>
      </c>
      <c r="AL67" s="116" t="s">
        <v>129</v>
      </c>
      <c r="AM67" s="116" t="s">
        <v>573</v>
      </c>
      <c r="AN67" s="116" t="s">
        <v>556</v>
      </c>
      <c r="AO67" s="120">
        <v>43178</v>
      </c>
      <c r="AP67" s="116" t="s">
        <v>111</v>
      </c>
      <c r="AQ67" s="116">
        <v>33</v>
      </c>
      <c r="AR67" s="125"/>
      <c r="AS67" s="122">
        <v>43160</v>
      </c>
      <c r="AT67" s="123"/>
      <c r="AU67" s="116"/>
      <c r="AV67" s="124"/>
      <c r="AW67" s="123"/>
      <c r="AX67" s="116" t="s">
        <v>1003</v>
      </c>
    </row>
    <row r="68" spans="1:50" ht="15" hidden="1">
      <c r="A68" s="116" t="s">
        <v>1153</v>
      </c>
      <c r="B68" s="116" t="s">
        <v>90</v>
      </c>
      <c r="C68" s="116" t="s">
        <v>91</v>
      </c>
      <c r="D68" s="117">
        <v>0</v>
      </c>
      <c r="E68" s="118">
        <v>1183.3</v>
      </c>
      <c r="F68" s="118">
        <v>0</v>
      </c>
      <c r="G68" s="118">
        <v>0</v>
      </c>
      <c r="H68" s="118">
        <v>0</v>
      </c>
      <c r="I68" s="118">
        <v>0</v>
      </c>
      <c r="J68" s="118">
        <v>0</v>
      </c>
      <c r="K68" s="118">
        <v>0</v>
      </c>
      <c r="L68" s="118">
        <v>0</v>
      </c>
      <c r="M68" s="118">
        <v>0</v>
      </c>
      <c r="N68" s="118">
        <v>0</v>
      </c>
      <c r="O68" s="119">
        <v>0</v>
      </c>
      <c r="P68" s="119">
        <v>0</v>
      </c>
      <c r="Q68" s="119">
        <v>0</v>
      </c>
      <c r="R68" s="119">
        <v>0</v>
      </c>
      <c r="S68" s="119">
        <v>0</v>
      </c>
      <c r="T68" s="116" t="s">
        <v>1154</v>
      </c>
      <c r="U68" s="116" t="s">
        <v>92</v>
      </c>
      <c r="V68" s="116" t="s">
        <v>159</v>
      </c>
      <c r="W68" s="116">
        <v>20171231</v>
      </c>
      <c r="X68" s="116">
        <v>20181230</v>
      </c>
      <c r="Y68" s="116"/>
      <c r="Z68" s="116" t="s">
        <v>922</v>
      </c>
      <c r="AA68" s="116" t="s">
        <v>105</v>
      </c>
      <c r="AB68" s="116" t="s">
        <v>923</v>
      </c>
      <c r="AC68" s="116" t="s">
        <v>200</v>
      </c>
      <c r="AD68" s="116">
        <v>2017</v>
      </c>
      <c r="AE68" s="116" t="s">
        <v>96</v>
      </c>
      <c r="AF68" s="116" t="s">
        <v>954</v>
      </c>
      <c r="AG68" s="116" t="s">
        <v>1356</v>
      </c>
      <c r="AH68" s="116" t="s">
        <v>1357</v>
      </c>
      <c r="AI68" s="116" t="s">
        <v>108</v>
      </c>
      <c r="AJ68" s="116" t="s">
        <v>1358</v>
      </c>
      <c r="AK68" s="116" t="s">
        <v>200</v>
      </c>
      <c r="AL68" s="116" t="s">
        <v>129</v>
      </c>
      <c r="AM68" s="116" t="s">
        <v>708</v>
      </c>
      <c r="AN68" s="116" t="s">
        <v>709</v>
      </c>
      <c r="AO68" s="120">
        <v>43179</v>
      </c>
      <c r="AP68" s="116" t="s">
        <v>111</v>
      </c>
      <c r="AQ68" s="116">
        <v>33</v>
      </c>
      <c r="AR68" s="121" t="s">
        <v>545</v>
      </c>
      <c r="AS68" s="122">
        <v>43160</v>
      </c>
      <c r="AT68" s="123"/>
      <c r="AU68" s="116"/>
      <c r="AV68" s="124"/>
      <c r="AW68" s="123"/>
      <c r="AX68" s="116" t="s">
        <v>1357</v>
      </c>
    </row>
    <row r="69" spans="1:50" ht="15" hidden="1">
      <c r="A69" s="116" t="s">
        <v>1153</v>
      </c>
      <c r="B69" s="116" t="s">
        <v>90</v>
      </c>
      <c r="C69" s="116" t="s">
        <v>91</v>
      </c>
      <c r="D69" s="117">
        <v>0</v>
      </c>
      <c r="E69" s="118">
        <v>1736.78</v>
      </c>
      <c r="F69" s="118">
        <v>0</v>
      </c>
      <c r="G69" s="118">
        <v>0</v>
      </c>
      <c r="H69" s="118">
        <v>2100</v>
      </c>
      <c r="I69" s="118">
        <v>315</v>
      </c>
      <c r="J69" s="118">
        <v>0</v>
      </c>
      <c r="K69" s="118">
        <v>0</v>
      </c>
      <c r="L69" s="118">
        <v>0</v>
      </c>
      <c r="M69" s="118">
        <v>0</v>
      </c>
      <c r="N69" s="118">
        <v>2415</v>
      </c>
      <c r="O69" s="119">
        <v>0</v>
      </c>
      <c r="P69" s="119">
        <v>0</v>
      </c>
      <c r="Q69" s="119">
        <v>0</v>
      </c>
      <c r="R69" s="119">
        <v>2100</v>
      </c>
      <c r="S69" s="119">
        <v>0</v>
      </c>
      <c r="T69" s="116" t="s">
        <v>1158</v>
      </c>
      <c r="U69" s="116" t="s">
        <v>92</v>
      </c>
      <c r="V69" s="116" t="s">
        <v>159</v>
      </c>
      <c r="W69" s="116">
        <v>20171231</v>
      </c>
      <c r="X69" s="116">
        <v>20181230</v>
      </c>
      <c r="Y69" s="116"/>
      <c r="Z69" s="116" t="s">
        <v>922</v>
      </c>
      <c r="AA69" s="116" t="s">
        <v>105</v>
      </c>
      <c r="AB69" s="116" t="s">
        <v>923</v>
      </c>
      <c r="AC69" s="116" t="s">
        <v>106</v>
      </c>
      <c r="AD69" s="116">
        <v>2017</v>
      </c>
      <c r="AE69" s="116" t="s">
        <v>96</v>
      </c>
      <c r="AF69" s="116" t="s">
        <v>954</v>
      </c>
      <c r="AG69" s="116" t="s">
        <v>1299</v>
      </c>
      <c r="AH69" s="116" t="s">
        <v>1300</v>
      </c>
      <c r="AI69" s="116" t="s">
        <v>162</v>
      </c>
      <c r="AJ69" s="116" t="s">
        <v>1301</v>
      </c>
      <c r="AK69" s="116" t="s">
        <v>112</v>
      </c>
      <c r="AL69" s="116" t="s">
        <v>426</v>
      </c>
      <c r="AM69" s="116" t="s">
        <v>685</v>
      </c>
      <c r="AN69" s="116" t="s">
        <v>686</v>
      </c>
      <c r="AO69" s="120">
        <v>43180</v>
      </c>
      <c r="AP69" s="116" t="s">
        <v>427</v>
      </c>
      <c r="AQ69" s="116">
        <v>33</v>
      </c>
      <c r="AR69" s="121" t="s">
        <v>554</v>
      </c>
      <c r="AS69" s="122">
        <v>43160</v>
      </c>
      <c r="AT69" s="123"/>
      <c r="AU69" s="116"/>
      <c r="AV69" s="124"/>
      <c r="AW69" s="123"/>
      <c r="AX69" s="116" t="s">
        <v>1300</v>
      </c>
    </row>
    <row r="70" spans="1:50" ht="15" hidden="1">
      <c r="A70" s="116" t="s">
        <v>1161</v>
      </c>
      <c r="B70" s="116" t="s">
        <v>90</v>
      </c>
      <c r="C70" s="116" t="s">
        <v>91</v>
      </c>
      <c r="D70" s="117">
        <v>6947.11</v>
      </c>
      <c r="E70" s="118">
        <v>1717.69</v>
      </c>
      <c r="F70" s="118">
        <v>6947.11</v>
      </c>
      <c r="G70" s="118">
        <v>6947.11</v>
      </c>
      <c r="H70" s="118">
        <v>4731</v>
      </c>
      <c r="I70" s="118">
        <v>-1639.05</v>
      </c>
      <c r="J70" s="118">
        <v>0</v>
      </c>
      <c r="K70" s="118">
        <v>-15658</v>
      </c>
      <c r="L70" s="118">
        <v>0</v>
      </c>
      <c r="M70" s="118">
        <v>0</v>
      </c>
      <c r="N70" s="118">
        <v>-12566.05</v>
      </c>
      <c r="O70" s="119">
        <v>4731</v>
      </c>
      <c r="P70" s="119">
        <v>0</v>
      </c>
      <c r="Q70" s="119">
        <v>0</v>
      </c>
      <c r="R70" s="119">
        <v>0</v>
      </c>
      <c r="S70" s="119">
        <v>0</v>
      </c>
      <c r="T70" s="116" t="s">
        <v>1162</v>
      </c>
      <c r="U70" s="116" t="s">
        <v>92</v>
      </c>
      <c r="V70" s="116" t="s">
        <v>160</v>
      </c>
      <c r="W70" s="116">
        <v>20171231</v>
      </c>
      <c r="X70" s="116">
        <v>20181230</v>
      </c>
      <c r="Y70" s="116"/>
      <c r="Z70" s="116" t="s">
        <v>922</v>
      </c>
      <c r="AA70" s="116" t="s">
        <v>105</v>
      </c>
      <c r="AB70" s="116" t="s">
        <v>923</v>
      </c>
      <c r="AC70" s="116" t="s">
        <v>98</v>
      </c>
      <c r="AD70" s="116">
        <v>2017</v>
      </c>
      <c r="AE70" s="116" t="s">
        <v>96</v>
      </c>
      <c r="AF70" s="116" t="s">
        <v>954</v>
      </c>
      <c r="AG70" s="116" t="s">
        <v>1323</v>
      </c>
      <c r="AH70" s="116" t="s">
        <v>1324</v>
      </c>
      <c r="AI70" s="116" t="s">
        <v>162</v>
      </c>
      <c r="AJ70" s="116" t="s">
        <v>1325</v>
      </c>
      <c r="AK70" s="116" t="s">
        <v>98</v>
      </c>
      <c r="AL70" s="116" t="s">
        <v>129</v>
      </c>
      <c r="AM70" s="116" t="s">
        <v>695</v>
      </c>
      <c r="AN70" s="116" t="s">
        <v>696</v>
      </c>
      <c r="AO70" s="120">
        <v>43180</v>
      </c>
      <c r="AP70" s="116" t="s">
        <v>111</v>
      </c>
      <c r="AQ70" s="116">
        <v>33</v>
      </c>
      <c r="AR70" s="121" t="s">
        <v>545</v>
      </c>
      <c r="AS70" s="122">
        <v>43160</v>
      </c>
      <c r="AT70" s="123"/>
      <c r="AU70" s="116"/>
      <c r="AV70" s="124"/>
      <c r="AW70" s="123"/>
      <c r="AX70" s="116" t="s">
        <v>1324</v>
      </c>
    </row>
    <row r="71" spans="1:50" ht="15" hidden="1">
      <c r="A71" s="116" t="s">
        <v>1166</v>
      </c>
      <c r="B71" s="116" t="s">
        <v>90</v>
      </c>
      <c r="C71" s="116" t="s">
        <v>91</v>
      </c>
      <c r="D71" s="117">
        <v>6498.86</v>
      </c>
      <c r="E71" s="118">
        <v>3231.57</v>
      </c>
      <c r="F71" s="118">
        <v>6498.86</v>
      </c>
      <c r="G71" s="118">
        <v>6498.86</v>
      </c>
      <c r="H71" s="118">
        <v>19010.150000000001</v>
      </c>
      <c r="I71" s="118">
        <v>2851.52</v>
      </c>
      <c r="J71" s="118">
        <v>0</v>
      </c>
      <c r="K71" s="118">
        <v>0</v>
      </c>
      <c r="L71" s="118">
        <v>0</v>
      </c>
      <c r="M71" s="118">
        <v>0</v>
      </c>
      <c r="N71" s="118">
        <v>21861.67</v>
      </c>
      <c r="O71" s="119">
        <v>14525.15</v>
      </c>
      <c r="P71" s="119">
        <v>0</v>
      </c>
      <c r="Q71" s="119">
        <v>0</v>
      </c>
      <c r="R71" s="119">
        <v>4485</v>
      </c>
      <c r="S71" s="119">
        <v>0</v>
      </c>
      <c r="T71" s="116" t="s">
        <v>1167</v>
      </c>
      <c r="U71" s="116" t="s">
        <v>92</v>
      </c>
      <c r="V71" s="116" t="s">
        <v>164</v>
      </c>
      <c r="W71" s="116">
        <v>20171231</v>
      </c>
      <c r="X71" s="116">
        <v>20181230</v>
      </c>
      <c r="Y71" s="116"/>
      <c r="Z71" s="116" t="s">
        <v>922</v>
      </c>
      <c r="AA71" s="116" t="s">
        <v>105</v>
      </c>
      <c r="AB71" s="116" t="s">
        <v>923</v>
      </c>
      <c r="AC71" s="116" t="s">
        <v>106</v>
      </c>
      <c r="AD71" s="116">
        <v>2016</v>
      </c>
      <c r="AE71" s="116" t="s">
        <v>96</v>
      </c>
      <c r="AF71" s="116" t="s">
        <v>954</v>
      </c>
      <c r="AG71" s="116" t="s">
        <v>965</v>
      </c>
      <c r="AH71" s="116" t="s">
        <v>966</v>
      </c>
      <c r="AI71" s="116" t="s">
        <v>162</v>
      </c>
      <c r="AJ71" s="116" t="s">
        <v>967</v>
      </c>
      <c r="AK71" s="116" t="s">
        <v>106</v>
      </c>
      <c r="AL71" s="116" t="s">
        <v>129</v>
      </c>
      <c r="AM71" s="116" t="s">
        <v>561</v>
      </c>
      <c r="AN71" s="116" t="s">
        <v>562</v>
      </c>
      <c r="AO71" s="120">
        <v>43182</v>
      </c>
      <c r="AP71" s="116" t="s">
        <v>111</v>
      </c>
      <c r="AQ71" s="116">
        <v>33</v>
      </c>
      <c r="AR71" s="125"/>
      <c r="AS71" s="122">
        <v>43160</v>
      </c>
      <c r="AT71" s="123"/>
      <c r="AU71" s="116"/>
      <c r="AV71" s="124"/>
      <c r="AW71" s="123"/>
      <c r="AX71" s="116" t="s">
        <v>966</v>
      </c>
    </row>
    <row r="72" spans="1:50" ht="15" hidden="1">
      <c r="A72" s="116" t="s">
        <v>1170</v>
      </c>
      <c r="B72" s="116" t="s">
        <v>90</v>
      </c>
      <c r="C72" s="116" t="s">
        <v>91</v>
      </c>
      <c r="D72" s="117">
        <v>6498.86</v>
      </c>
      <c r="E72" s="118">
        <v>2160.33</v>
      </c>
      <c r="F72" s="118">
        <v>6498.86</v>
      </c>
      <c r="G72" s="118">
        <v>6498.86</v>
      </c>
      <c r="H72" s="118">
        <v>10704.81</v>
      </c>
      <c r="I72" s="118">
        <v>1605.72</v>
      </c>
      <c r="J72" s="118">
        <v>0</v>
      </c>
      <c r="K72" s="118">
        <v>0</v>
      </c>
      <c r="L72" s="118">
        <v>0</v>
      </c>
      <c r="M72" s="118">
        <v>0</v>
      </c>
      <c r="N72" s="118">
        <v>12310.53</v>
      </c>
      <c r="O72" s="119">
        <v>10704.81</v>
      </c>
      <c r="P72" s="119">
        <v>0</v>
      </c>
      <c r="Q72" s="119">
        <v>0</v>
      </c>
      <c r="R72" s="119">
        <v>0</v>
      </c>
      <c r="S72" s="119">
        <v>0</v>
      </c>
      <c r="T72" s="116" t="s">
        <v>1171</v>
      </c>
      <c r="U72" s="116" t="s">
        <v>92</v>
      </c>
      <c r="V72" s="116" t="s">
        <v>165</v>
      </c>
      <c r="W72" s="116">
        <v>20171231</v>
      </c>
      <c r="X72" s="116">
        <v>20181230</v>
      </c>
      <c r="Y72" s="116"/>
      <c r="Z72" s="116" t="s">
        <v>922</v>
      </c>
      <c r="AA72" s="116" t="s">
        <v>105</v>
      </c>
      <c r="AB72" s="116" t="s">
        <v>923</v>
      </c>
      <c r="AC72" s="116" t="s">
        <v>102</v>
      </c>
      <c r="AD72" s="116">
        <v>2016</v>
      </c>
      <c r="AE72" s="116" t="s">
        <v>96</v>
      </c>
      <c r="AF72" s="116" t="s">
        <v>954</v>
      </c>
      <c r="AG72" s="116" t="s">
        <v>1109</v>
      </c>
      <c r="AH72" s="116" t="s">
        <v>1110</v>
      </c>
      <c r="AI72" s="116" t="s">
        <v>162</v>
      </c>
      <c r="AJ72" s="116" t="s">
        <v>1111</v>
      </c>
      <c r="AK72" s="116" t="s">
        <v>102</v>
      </c>
      <c r="AL72" s="116" t="s">
        <v>129</v>
      </c>
      <c r="AM72" s="116" t="s">
        <v>328</v>
      </c>
      <c r="AN72" s="116" t="s">
        <v>611</v>
      </c>
      <c r="AO72" s="120">
        <v>43182</v>
      </c>
      <c r="AP72" s="116" t="s">
        <v>111</v>
      </c>
      <c r="AQ72" s="116">
        <v>33</v>
      </c>
      <c r="AR72" s="121" t="s">
        <v>545</v>
      </c>
      <c r="AS72" s="122">
        <v>43160</v>
      </c>
      <c r="AT72" s="123"/>
      <c r="AU72" s="116"/>
      <c r="AV72" s="124"/>
      <c r="AW72" s="123"/>
      <c r="AX72" s="116" t="s">
        <v>1110</v>
      </c>
    </row>
    <row r="73" spans="1:50" ht="15" hidden="1">
      <c r="A73" s="116" t="s">
        <v>1174</v>
      </c>
      <c r="B73" s="116" t="s">
        <v>90</v>
      </c>
      <c r="C73" s="116" t="s">
        <v>91</v>
      </c>
      <c r="D73" s="117">
        <v>0</v>
      </c>
      <c r="E73" s="118">
        <v>653.64</v>
      </c>
      <c r="F73" s="118">
        <v>0</v>
      </c>
      <c r="G73" s="118">
        <v>0</v>
      </c>
      <c r="H73" s="118">
        <v>1807.18</v>
      </c>
      <c r="I73" s="118">
        <v>271.08</v>
      </c>
      <c r="J73" s="118">
        <v>0</v>
      </c>
      <c r="K73" s="118">
        <v>0</v>
      </c>
      <c r="L73" s="118">
        <v>0</v>
      </c>
      <c r="M73" s="118">
        <v>0</v>
      </c>
      <c r="N73" s="118">
        <v>2078.2600000000002</v>
      </c>
      <c r="O73" s="119">
        <v>1807.18</v>
      </c>
      <c r="P73" s="119">
        <v>0</v>
      </c>
      <c r="Q73" s="119">
        <v>0</v>
      </c>
      <c r="R73" s="119">
        <v>0</v>
      </c>
      <c r="S73" s="119">
        <v>0</v>
      </c>
      <c r="T73" s="116" t="s">
        <v>1175</v>
      </c>
      <c r="U73" s="116" t="s">
        <v>92</v>
      </c>
      <c r="V73" s="116" t="s">
        <v>167</v>
      </c>
      <c r="W73" s="116">
        <v>20171231</v>
      </c>
      <c r="X73" s="116">
        <v>20181230</v>
      </c>
      <c r="Y73" s="116"/>
      <c r="Z73" s="116" t="s">
        <v>922</v>
      </c>
      <c r="AA73" s="116" t="s">
        <v>105</v>
      </c>
      <c r="AB73" s="116" t="s">
        <v>923</v>
      </c>
      <c r="AC73" s="116" t="s">
        <v>106</v>
      </c>
      <c r="AD73" s="116">
        <v>2017</v>
      </c>
      <c r="AE73" s="116" t="s">
        <v>96</v>
      </c>
      <c r="AF73" s="116" t="s">
        <v>954</v>
      </c>
      <c r="AG73" s="116" t="s">
        <v>1611</v>
      </c>
      <c r="AH73" s="116" t="s">
        <v>387</v>
      </c>
      <c r="AI73" s="116" t="s">
        <v>119</v>
      </c>
      <c r="AJ73" s="116" t="s">
        <v>1612</v>
      </c>
      <c r="AK73" s="116" t="s">
        <v>551</v>
      </c>
      <c r="AL73" s="116" t="s">
        <v>129</v>
      </c>
      <c r="AM73" s="116" t="s">
        <v>791</v>
      </c>
      <c r="AN73" s="116" t="s">
        <v>792</v>
      </c>
      <c r="AO73" s="120">
        <v>43183</v>
      </c>
      <c r="AP73" s="116" t="s">
        <v>111</v>
      </c>
      <c r="AQ73" s="116">
        <v>33</v>
      </c>
      <c r="AR73" s="121" t="s">
        <v>545</v>
      </c>
      <c r="AS73" s="122">
        <v>43160</v>
      </c>
      <c r="AT73" s="123"/>
      <c r="AU73" s="116"/>
      <c r="AV73" s="124"/>
      <c r="AW73" s="123"/>
      <c r="AX73" s="116" t="s">
        <v>387</v>
      </c>
    </row>
    <row r="74" spans="1:50" ht="15" hidden="1">
      <c r="A74" s="116" t="s">
        <v>1177</v>
      </c>
      <c r="B74" s="116" t="s">
        <v>90</v>
      </c>
      <c r="C74" s="116" t="s">
        <v>91</v>
      </c>
      <c r="D74" s="117">
        <v>0</v>
      </c>
      <c r="E74" s="118">
        <v>385.84</v>
      </c>
      <c r="F74" s="118">
        <v>0</v>
      </c>
      <c r="G74" s="118">
        <v>0</v>
      </c>
      <c r="H74" s="118">
        <v>0</v>
      </c>
      <c r="I74" s="118">
        <v>14168</v>
      </c>
      <c r="J74" s="118">
        <v>0</v>
      </c>
      <c r="K74" s="118">
        <v>0</v>
      </c>
      <c r="L74" s="118">
        <v>0</v>
      </c>
      <c r="M74" s="118">
        <v>0</v>
      </c>
      <c r="N74" s="118">
        <v>14168</v>
      </c>
      <c r="O74" s="119">
        <v>0</v>
      </c>
      <c r="P74" s="119">
        <v>0</v>
      </c>
      <c r="Q74" s="119">
        <v>0</v>
      </c>
      <c r="R74" s="119">
        <v>0</v>
      </c>
      <c r="S74" s="119">
        <v>0</v>
      </c>
      <c r="T74" s="116" t="s">
        <v>1178</v>
      </c>
      <c r="U74" s="116" t="s">
        <v>92</v>
      </c>
      <c r="V74" s="116" t="s">
        <v>170</v>
      </c>
      <c r="W74" s="116">
        <v>20171231</v>
      </c>
      <c r="X74" s="116">
        <v>20181230</v>
      </c>
      <c r="Y74" s="116"/>
      <c r="Z74" s="116" t="s">
        <v>922</v>
      </c>
      <c r="AA74" s="116" t="s">
        <v>105</v>
      </c>
      <c r="AB74" s="116" t="s">
        <v>923</v>
      </c>
      <c r="AC74" s="116" t="s">
        <v>106</v>
      </c>
      <c r="AD74" s="116">
        <v>2018</v>
      </c>
      <c r="AE74" s="116" t="s">
        <v>96</v>
      </c>
      <c r="AF74" s="116" t="s">
        <v>289</v>
      </c>
      <c r="AG74" s="116" t="s">
        <v>1838</v>
      </c>
      <c r="AH74" s="116" t="s">
        <v>1839</v>
      </c>
      <c r="AI74" s="116" t="s">
        <v>162</v>
      </c>
      <c r="AJ74" s="116" t="s">
        <v>1840</v>
      </c>
      <c r="AK74" s="116" t="s">
        <v>104</v>
      </c>
      <c r="AL74" s="116" t="s">
        <v>129</v>
      </c>
      <c r="AM74" s="116" t="s">
        <v>869</v>
      </c>
      <c r="AN74" s="116" t="s">
        <v>870</v>
      </c>
      <c r="AO74" s="120">
        <v>43183</v>
      </c>
      <c r="AP74" s="116" t="s">
        <v>111</v>
      </c>
      <c r="AQ74" s="116">
        <v>33</v>
      </c>
      <c r="AR74" s="121" t="s">
        <v>545</v>
      </c>
      <c r="AS74" s="122">
        <v>43160</v>
      </c>
      <c r="AT74" s="123"/>
      <c r="AU74" s="116"/>
      <c r="AV74" s="124"/>
      <c r="AW74" s="123"/>
      <c r="AX74" s="116" t="s">
        <v>1839</v>
      </c>
    </row>
    <row r="75" spans="1:50" ht="15" hidden="1">
      <c r="A75" s="116" t="s">
        <v>1181</v>
      </c>
      <c r="B75" s="116" t="s">
        <v>90</v>
      </c>
      <c r="C75" s="116" t="s">
        <v>91</v>
      </c>
      <c r="D75" s="117">
        <v>0</v>
      </c>
      <c r="E75" s="118">
        <v>1187.83</v>
      </c>
      <c r="F75" s="118">
        <v>0</v>
      </c>
      <c r="G75" s="118">
        <v>0</v>
      </c>
      <c r="H75" s="118">
        <v>11799.18</v>
      </c>
      <c r="I75" s="118">
        <v>5676.59</v>
      </c>
      <c r="J75" s="118">
        <v>0</v>
      </c>
      <c r="K75" s="118">
        <v>-6496.25</v>
      </c>
      <c r="L75" s="118">
        <v>0</v>
      </c>
      <c r="M75" s="118">
        <v>29320.99</v>
      </c>
      <c r="N75" s="118">
        <v>40300.51</v>
      </c>
      <c r="O75" s="119">
        <v>0</v>
      </c>
      <c r="P75" s="119">
        <v>0</v>
      </c>
      <c r="Q75" s="119">
        <v>0</v>
      </c>
      <c r="R75" s="119">
        <v>11799.18</v>
      </c>
      <c r="S75" s="119">
        <v>0</v>
      </c>
      <c r="T75" s="116" t="s">
        <v>1124</v>
      </c>
      <c r="U75" s="116" t="s">
        <v>92</v>
      </c>
      <c r="V75" s="116" t="s">
        <v>171</v>
      </c>
      <c r="W75" s="116">
        <v>20171231</v>
      </c>
      <c r="X75" s="116">
        <v>20181230</v>
      </c>
      <c r="Y75" s="116"/>
      <c r="Z75" s="116" t="s">
        <v>922</v>
      </c>
      <c r="AA75" s="116" t="s">
        <v>105</v>
      </c>
      <c r="AB75" s="116" t="s">
        <v>923</v>
      </c>
      <c r="AC75" s="116" t="s">
        <v>137</v>
      </c>
      <c r="AD75" s="116">
        <v>2016</v>
      </c>
      <c r="AE75" s="116" t="s">
        <v>96</v>
      </c>
      <c r="AF75" s="116" t="s">
        <v>954</v>
      </c>
      <c r="AG75" s="116" t="s">
        <v>1144</v>
      </c>
      <c r="AH75" s="116" t="s">
        <v>1145</v>
      </c>
      <c r="AI75" s="116" t="s">
        <v>108</v>
      </c>
      <c r="AJ75" s="116" t="s">
        <v>1146</v>
      </c>
      <c r="AK75" s="116" t="s">
        <v>98</v>
      </c>
      <c r="AL75" s="116" t="s">
        <v>129</v>
      </c>
      <c r="AM75" s="116" t="s">
        <v>624</v>
      </c>
      <c r="AN75" s="116" t="s">
        <v>625</v>
      </c>
      <c r="AO75" s="120">
        <v>43185</v>
      </c>
      <c r="AP75" s="116" t="s">
        <v>111</v>
      </c>
      <c r="AQ75" s="116">
        <v>33</v>
      </c>
      <c r="AR75" s="125"/>
      <c r="AS75" s="122">
        <v>43160</v>
      </c>
      <c r="AT75" s="123"/>
      <c r="AU75" s="116"/>
      <c r="AV75" s="124"/>
      <c r="AW75" s="123"/>
      <c r="AX75" s="116" t="s">
        <v>1145</v>
      </c>
    </row>
    <row r="76" spans="1:50" ht="15" hidden="1">
      <c r="A76" s="116" t="s">
        <v>1185</v>
      </c>
      <c r="B76" s="116" t="s">
        <v>90</v>
      </c>
      <c r="C76" s="116" t="s">
        <v>91</v>
      </c>
      <c r="D76" s="117">
        <v>0</v>
      </c>
      <c r="E76" s="118">
        <v>890.07</v>
      </c>
      <c r="F76" s="118">
        <v>0</v>
      </c>
      <c r="G76" s="118">
        <v>0</v>
      </c>
      <c r="H76" s="118">
        <v>2510.59</v>
      </c>
      <c r="I76" s="118">
        <v>376.59</v>
      </c>
      <c r="J76" s="118">
        <v>0</v>
      </c>
      <c r="K76" s="118">
        <v>0</v>
      </c>
      <c r="L76" s="118">
        <v>0</v>
      </c>
      <c r="M76" s="118">
        <v>0</v>
      </c>
      <c r="N76" s="118">
        <v>2887.18</v>
      </c>
      <c r="O76" s="119">
        <v>2510.59</v>
      </c>
      <c r="P76" s="119">
        <v>0</v>
      </c>
      <c r="Q76" s="119">
        <v>0</v>
      </c>
      <c r="R76" s="119">
        <v>0</v>
      </c>
      <c r="S76" s="119">
        <v>0</v>
      </c>
      <c r="T76" s="116" t="s">
        <v>1186</v>
      </c>
      <c r="U76" s="116" t="s">
        <v>92</v>
      </c>
      <c r="V76" s="116" t="s">
        <v>173</v>
      </c>
      <c r="W76" s="116">
        <v>20171231</v>
      </c>
      <c r="X76" s="116">
        <v>20181230</v>
      </c>
      <c r="Y76" s="116"/>
      <c r="Z76" s="116" t="s">
        <v>922</v>
      </c>
      <c r="AA76" s="116" t="s">
        <v>105</v>
      </c>
      <c r="AB76" s="116" t="s">
        <v>923</v>
      </c>
      <c r="AC76" s="116" t="s">
        <v>169</v>
      </c>
      <c r="AD76" s="116">
        <v>2017</v>
      </c>
      <c r="AE76" s="116" t="s">
        <v>96</v>
      </c>
      <c r="AF76" s="116" t="s">
        <v>954</v>
      </c>
      <c r="AG76" s="116" t="s">
        <v>1649</v>
      </c>
      <c r="AH76" s="116" t="s">
        <v>1650</v>
      </c>
      <c r="AI76" s="116" t="s">
        <v>108</v>
      </c>
      <c r="AJ76" s="116" t="s">
        <v>463</v>
      </c>
      <c r="AK76" s="116" t="s">
        <v>123</v>
      </c>
      <c r="AL76" s="116" t="s">
        <v>426</v>
      </c>
      <c r="AM76" s="116" t="s">
        <v>805</v>
      </c>
      <c r="AN76" s="116" t="s">
        <v>806</v>
      </c>
      <c r="AO76" s="120">
        <v>43185</v>
      </c>
      <c r="AP76" s="116" t="s">
        <v>807</v>
      </c>
      <c r="AQ76" s="116">
        <v>33</v>
      </c>
      <c r="AR76" s="121" t="s">
        <v>554</v>
      </c>
      <c r="AS76" s="122">
        <v>43160</v>
      </c>
      <c r="AT76" s="123"/>
      <c r="AU76" s="116"/>
      <c r="AV76" s="124"/>
      <c r="AW76" s="123"/>
      <c r="AX76" s="116" t="s">
        <v>1650</v>
      </c>
    </row>
    <row r="77" spans="1:50" ht="15" hidden="1">
      <c r="A77" s="116" t="s">
        <v>1188</v>
      </c>
      <c r="B77" s="116" t="s">
        <v>90</v>
      </c>
      <c r="C77" s="116" t="s">
        <v>91</v>
      </c>
      <c r="D77" s="117">
        <v>0</v>
      </c>
      <c r="E77" s="118">
        <v>677.46</v>
      </c>
      <c r="F77" s="118">
        <v>0</v>
      </c>
      <c r="G77" s="118">
        <v>0</v>
      </c>
      <c r="H77" s="118">
        <v>15658</v>
      </c>
      <c r="I77" s="118">
        <v>2348.6999999999998</v>
      </c>
      <c r="J77" s="118">
        <v>0</v>
      </c>
      <c r="K77" s="118">
        <v>0</v>
      </c>
      <c r="L77" s="118">
        <v>0</v>
      </c>
      <c r="M77" s="118">
        <v>0</v>
      </c>
      <c r="N77" s="118">
        <v>18006.7</v>
      </c>
      <c r="O77" s="119">
        <v>0</v>
      </c>
      <c r="P77" s="119">
        <v>0</v>
      </c>
      <c r="Q77" s="119">
        <v>0</v>
      </c>
      <c r="R77" s="119">
        <v>15658</v>
      </c>
      <c r="S77" s="119">
        <v>0</v>
      </c>
      <c r="T77" s="116" t="s">
        <v>1189</v>
      </c>
      <c r="U77" s="116" t="s">
        <v>92</v>
      </c>
      <c r="V77" s="116" t="s">
        <v>174</v>
      </c>
      <c r="W77" s="116">
        <v>20171231</v>
      </c>
      <c r="X77" s="116">
        <v>20181230</v>
      </c>
      <c r="Y77" s="116"/>
      <c r="Z77" s="116" t="s">
        <v>922</v>
      </c>
      <c r="AA77" s="116" t="s">
        <v>105</v>
      </c>
      <c r="AB77" s="116" t="s">
        <v>923</v>
      </c>
      <c r="AC77" s="116" t="s">
        <v>104</v>
      </c>
      <c r="AD77" s="116">
        <v>2016</v>
      </c>
      <c r="AE77" s="116" t="s">
        <v>96</v>
      </c>
      <c r="AF77" s="116" t="s">
        <v>954</v>
      </c>
      <c r="AG77" s="116" t="s">
        <v>1030</v>
      </c>
      <c r="AH77" s="116"/>
      <c r="AI77" s="116" t="s">
        <v>119</v>
      </c>
      <c r="AJ77" s="116" t="s">
        <v>583</v>
      </c>
      <c r="AK77" s="116" t="s">
        <v>104</v>
      </c>
      <c r="AL77" s="116" t="s">
        <v>110</v>
      </c>
      <c r="AM77" s="116" t="s">
        <v>582</v>
      </c>
      <c r="AN77" s="116" t="s">
        <v>583</v>
      </c>
      <c r="AO77" s="120">
        <v>43187</v>
      </c>
      <c r="AP77" s="116" t="s">
        <v>111</v>
      </c>
      <c r="AQ77" s="116">
        <v>33</v>
      </c>
      <c r="AR77" s="125"/>
      <c r="AS77" s="122">
        <v>43160</v>
      </c>
      <c r="AT77" s="123"/>
      <c r="AU77" s="116"/>
      <c r="AV77" s="124"/>
      <c r="AW77" s="123"/>
      <c r="AX77" s="116"/>
    </row>
    <row r="78" spans="1:50" ht="15" hidden="1">
      <c r="A78" s="116" t="s">
        <v>1188</v>
      </c>
      <c r="B78" s="116" t="s">
        <v>90</v>
      </c>
      <c r="C78" s="116" t="s">
        <v>91</v>
      </c>
      <c r="D78" s="117">
        <v>0</v>
      </c>
      <c r="E78" s="118">
        <v>655.6</v>
      </c>
      <c r="F78" s="118">
        <v>0</v>
      </c>
      <c r="G78" s="118">
        <v>0</v>
      </c>
      <c r="H78" s="118">
        <v>61657.06</v>
      </c>
      <c r="I78" s="118">
        <v>12174.12</v>
      </c>
      <c r="J78" s="118">
        <v>0</v>
      </c>
      <c r="K78" s="118">
        <v>-6496.25</v>
      </c>
      <c r="L78" s="118">
        <v>0</v>
      </c>
      <c r="M78" s="118">
        <v>26000</v>
      </c>
      <c r="N78" s="118">
        <v>93334.93</v>
      </c>
      <c r="O78" s="119">
        <v>30341.06</v>
      </c>
      <c r="P78" s="119">
        <v>0</v>
      </c>
      <c r="Q78" s="119">
        <v>0</v>
      </c>
      <c r="R78" s="119">
        <v>31316</v>
      </c>
      <c r="S78" s="119">
        <v>0</v>
      </c>
      <c r="T78" s="116" t="s">
        <v>1193</v>
      </c>
      <c r="U78" s="116" t="s">
        <v>92</v>
      </c>
      <c r="V78" s="116" t="s">
        <v>174</v>
      </c>
      <c r="W78" s="116">
        <v>20171231</v>
      </c>
      <c r="X78" s="116">
        <v>20181230</v>
      </c>
      <c r="Y78" s="116"/>
      <c r="Z78" s="116" t="s">
        <v>922</v>
      </c>
      <c r="AA78" s="116" t="s">
        <v>105</v>
      </c>
      <c r="AB78" s="116" t="s">
        <v>923</v>
      </c>
      <c r="AC78" s="116" t="s">
        <v>131</v>
      </c>
      <c r="AD78" s="116">
        <v>2016</v>
      </c>
      <c r="AE78" s="116" t="s">
        <v>96</v>
      </c>
      <c r="AF78" s="116" t="s">
        <v>954</v>
      </c>
      <c r="AG78" s="116" t="s">
        <v>1067</v>
      </c>
      <c r="AH78" s="116" t="s">
        <v>464</v>
      </c>
      <c r="AI78" s="116" t="s">
        <v>108</v>
      </c>
      <c r="AJ78" s="116" t="s">
        <v>1068</v>
      </c>
      <c r="AK78" s="116" t="s">
        <v>131</v>
      </c>
      <c r="AL78" s="116" t="s">
        <v>129</v>
      </c>
      <c r="AM78" s="116" t="s">
        <v>597</v>
      </c>
      <c r="AN78" s="116" t="s">
        <v>598</v>
      </c>
      <c r="AO78" s="120">
        <v>43187</v>
      </c>
      <c r="AP78" s="116" t="s">
        <v>111</v>
      </c>
      <c r="AQ78" s="116">
        <v>33</v>
      </c>
      <c r="AR78" s="125"/>
      <c r="AS78" s="122">
        <v>43160</v>
      </c>
      <c r="AT78" s="123"/>
      <c r="AU78" s="116"/>
      <c r="AV78" s="124"/>
      <c r="AW78" s="123"/>
      <c r="AX78" s="116" t="s">
        <v>464</v>
      </c>
    </row>
    <row r="79" spans="1:50" ht="15" hidden="1">
      <c r="A79" s="116" t="s">
        <v>1197</v>
      </c>
      <c r="B79" s="116" t="s">
        <v>90</v>
      </c>
      <c r="C79" s="116" t="s">
        <v>91</v>
      </c>
      <c r="D79" s="117">
        <v>0</v>
      </c>
      <c r="E79" s="118">
        <v>3013.67</v>
      </c>
      <c r="F79" s="118">
        <v>0</v>
      </c>
      <c r="G79" s="118">
        <v>0</v>
      </c>
      <c r="H79" s="118">
        <v>33996.839999999997</v>
      </c>
      <c r="I79" s="118">
        <v>5099.53</v>
      </c>
      <c r="J79" s="118">
        <v>0</v>
      </c>
      <c r="K79" s="118">
        <v>0</v>
      </c>
      <c r="L79" s="118">
        <v>0</v>
      </c>
      <c r="M79" s="118">
        <v>0</v>
      </c>
      <c r="N79" s="118">
        <v>39096.370000000003</v>
      </c>
      <c r="O79" s="119">
        <v>19777.84</v>
      </c>
      <c r="P79" s="119">
        <v>0</v>
      </c>
      <c r="Q79" s="119">
        <v>0</v>
      </c>
      <c r="R79" s="119">
        <v>14219</v>
      </c>
      <c r="S79" s="119">
        <v>0</v>
      </c>
      <c r="T79" s="116" t="s">
        <v>1198</v>
      </c>
      <c r="U79" s="116" t="s">
        <v>92</v>
      </c>
      <c r="V79" s="116" t="s">
        <v>175</v>
      </c>
      <c r="W79" s="116">
        <v>20171231</v>
      </c>
      <c r="X79" s="116">
        <v>20181230</v>
      </c>
      <c r="Y79" s="116"/>
      <c r="Z79" s="116" t="s">
        <v>922</v>
      </c>
      <c r="AA79" s="116" t="s">
        <v>93</v>
      </c>
      <c r="AB79" s="116" t="s">
        <v>923</v>
      </c>
      <c r="AC79" s="116" t="s">
        <v>106</v>
      </c>
      <c r="AD79" s="116">
        <v>2014</v>
      </c>
      <c r="AE79" s="116" t="s">
        <v>96</v>
      </c>
      <c r="AF79" s="116" t="s">
        <v>924</v>
      </c>
      <c r="AG79" s="116" t="s">
        <v>931</v>
      </c>
      <c r="AH79" s="116" t="s">
        <v>932</v>
      </c>
      <c r="AI79" s="116" t="s">
        <v>108</v>
      </c>
      <c r="AJ79" s="116" t="s">
        <v>933</v>
      </c>
      <c r="AK79" s="116" t="s">
        <v>106</v>
      </c>
      <c r="AL79" s="116" t="s">
        <v>129</v>
      </c>
      <c r="AM79" s="116" t="s">
        <v>546</v>
      </c>
      <c r="AN79" s="116" t="s">
        <v>547</v>
      </c>
      <c r="AO79" s="120">
        <v>43200</v>
      </c>
      <c r="AP79" s="116" t="s">
        <v>111</v>
      </c>
      <c r="AQ79" s="116">
        <v>33</v>
      </c>
      <c r="AR79" s="121" t="s">
        <v>545</v>
      </c>
      <c r="AS79" s="122">
        <v>43191</v>
      </c>
      <c r="AT79" s="123"/>
      <c r="AU79" s="116"/>
      <c r="AV79" s="124"/>
      <c r="AW79" s="123"/>
      <c r="AX79" s="116" t="s">
        <v>932</v>
      </c>
    </row>
    <row r="80" spans="1:50" ht="15" hidden="1">
      <c r="A80" s="116" t="s">
        <v>1204</v>
      </c>
      <c r="B80" s="116" t="s">
        <v>90</v>
      </c>
      <c r="C80" s="116" t="s">
        <v>91</v>
      </c>
      <c r="D80" s="117">
        <v>0</v>
      </c>
      <c r="E80" s="118">
        <v>3169.3</v>
      </c>
      <c r="F80" s="118">
        <v>0</v>
      </c>
      <c r="G80" s="118">
        <v>0</v>
      </c>
      <c r="H80" s="118">
        <v>12192.29</v>
      </c>
      <c r="I80" s="118">
        <v>1828.84</v>
      </c>
      <c r="J80" s="118">
        <v>0</v>
      </c>
      <c r="K80" s="118">
        <v>0</v>
      </c>
      <c r="L80" s="118">
        <v>0</v>
      </c>
      <c r="M80" s="118">
        <v>0</v>
      </c>
      <c r="N80" s="118">
        <v>14021.13</v>
      </c>
      <c r="O80" s="119">
        <v>12192.29</v>
      </c>
      <c r="P80" s="119">
        <v>0</v>
      </c>
      <c r="Q80" s="119">
        <v>0</v>
      </c>
      <c r="R80" s="119">
        <v>0</v>
      </c>
      <c r="S80" s="119">
        <v>0</v>
      </c>
      <c r="T80" s="116" t="s">
        <v>1198</v>
      </c>
      <c r="U80" s="116" t="s">
        <v>92</v>
      </c>
      <c r="V80" s="116" t="s">
        <v>176</v>
      </c>
      <c r="W80" s="116">
        <v>20171231</v>
      </c>
      <c r="X80" s="116">
        <v>20181230</v>
      </c>
      <c r="Y80" s="116"/>
      <c r="Z80" s="116" t="s">
        <v>922</v>
      </c>
      <c r="AA80" s="116" t="s">
        <v>105</v>
      </c>
      <c r="AB80" s="116" t="s">
        <v>923</v>
      </c>
      <c r="AC80" s="116" t="s">
        <v>137</v>
      </c>
      <c r="AD80" s="116">
        <v>2016</v>
      </c>
      <c r="AE80" s="116" t="s">
        <v>96</v>
      </c>
      <c r="AF80" s="116" t="s">
        <v>954</v>
      </c>
      <c r="AG80" s="116" t="s">
        <v>1148</v>
      </c>
      <c r="AH80" s="116" t="s">
        <v>1145</v>
      </c>
      <c r="AI80" s="116" t="s">
        <v>119</v>
      </c>
      <c r="AJ80" s="116" t="s">
        <v>1149</v>
      </c>
      <c r="AK80" s="116" t="s">
        <v>98</v>
      </c>
      <c r="AL80" s="116" t="s">
        <v>129</v>
      </c>
      <c r="AM80" s="116" t="s">
        <v>626</v>
      </c>
      <c r="AN80" s="116" t="s">
        <v>627</v>
      </c>
      <c r="AO80" s="120">
        <v>43197</v>
      </c>
      <c r="AP80" s="116" t="s">
        <v>111</v>
      </c>
      <c r="AQ80" s="116">
        <v>33</v>
      </c>
      <c r="AR80" s="121" t="s">
        <v>554</v>
      </c>
      <c r="AS80" s="122">
        <v>43191</v>
      </c>
      <c r="AT80" s="123"/>
      <c r="AU80" s="116"/>
      <c r="AV80" s="124"/>
      <c r="AW80" s="123"/>
      <c r="AX80" s="116" t="s">
        <v>1145</v>
      </c>
    </row>
    <row r="81" spans="1:50" ht="15" hidden="1">
      <c r="A81" s="116" t="s">
        <v>1207</v>
      </c>
      <c r="B81" s="116" t="s">
        <v>90</v>
      </c>
      <c r="C81" s="116" t="s">
        <v>91</v>
      </c>
      <c r="D81" s="117">
        <v>0</v>
      </c>
      <c r="E81" s="118">
        <v>6362.96</v>
      </c>
      <c r="F81" s="118">
        <v>0</v>
      </c>
      <c r="G81" s="118">
        <v>0</v>
      </c>
      <c r="H81" s="118">
        <v>0</v>
      </c>
      <c r="I81" s="118">
        <v>-284.62</v>
      </c>
      <c r="J81" s="118">
        <v>0</v>
      </c>
      <c r="K81" s="118">
        <v>-15658</v>
      </c>
      <c r="L81" s="118">
        <v>0</v>
      </c>
      <c r="M81" s="118">
        <v>13760.55</v>
      </c>
      <c r="N81" s="118">
        <v>-2182.0700000000002</v>
      </c>
      <c r="O81" s="119">
        <v>0</v>
      </c>
      <c r="P81" s="119">
        <v>0</v>
      </c>
      <c r="Q81" s="119">
        <v>0</v>
      </c>
      <c r="R81" s="119">
        <v>0</v>
      </c>
      <c r="S81" s="119">
        <v>0</v>
      </c>
      <c r="T81" s="116" t="s">
        <v>1208</v>
      </c>
      <c r="U81" s="116" t="s">
        <v>92</v>
      </c>
      <c r="V81" s="116" t="s">
        <v>1209</v>
      </c>
      <c r="W81" s="116">
        <v>20171231</v>
      </c>
      <c r="X81" s="116">
        <v>20181230</v>
      </c>
      <c r="Y81" s="116"/>
      <c r="Z81" s="116" t="s">
        <v>922</v>
      </c>
      <c r="AA81" s="116" t="s">
        <v>105</v>
      </c>
      <c r="AB81" s="116" t="s">
        <v>1210</v>
      </c>
      <c r="AC81" s="116" t="s">
        <v>106</v>
      </c>
      <c r="AD81" s="116">
        <v>2016</v>
      </c>
      <c r="AE81" s="116" t="s">
        <v>96</v>
      </c>
      <c r="AF81" s="116" t="s">
        <v>1211</v>
      </c>
      <c r="AG81" s="116" t="s">
        <v>1279</v>
      </c>
      <c r="AH81" s="116" t="s">
        <v>1280</v>
      </c>
      <c r="AI81" s="116" t="s">
        <v>108</v>
      </c>
      <c r="AJ81" s="116" t="s">
        <v>1281</v>
      </c>
      <c r="AK81" s="116" t="s">
        <v>106</v>
      </c>
      <c r="AL81" s="116" t="s">
        <v>129</v>
      </c>
      <c r="AM81" s="116" t="s">
        <v>676</v>
      </c>
      <c r="AN81" s="116" t="s">
        <v>677</v>
      </c>
      <c r="AO81" s="120">
        <v>43199</v>
      </c>
      <c r="AP81" s="116" t="s">
        <v>111</v>
      </c>
      <c r="AQ81" s="116">
        <v>33</v>
      </c>
      <c r="AR81" s="121" t="s">
        <v>554</v>
      </c>
      <c r="AS81" s="122">
        <v>43191</v>
      </c>
      <c r="AT81" s="123"/>
      <c r="AU81" s="116"/>
      <c r="AV81" s="124"/>
      <c r="AW81" s="123"/>
      <c r="AX81" s="116" t="s">
        <v>1280</v>
      </c>
    </row>
    <row r="82" spans="1:50" ht="15" hidden="1">
      <c r="A82" s="116" t="s">
        <v>1207</v>
      </c>
      <c r="B82" s="116" t="s">
        <v>90</v>
      </c>
      <c r="C82" s="116" t="s">
        <v>91</v>
      </c>
      <c r="D82" s="117">
        <v>0</v>
      </c>
      <c r="E82" s="118">
        <v>3129.32</v>
      </c>
      <c r="F82" s="118">
        <v>0</v>
      </c>
      <c r="G82" s="118">
        <v>0</v>
      </c>
      <c r="H82" s="118">
        <v>0</v>
      </c>
      <c r="I82" s="118">
        <v>34.39</v>
      </c>
      <c r="J82" s="118">
        <v>0</v>
      </c>
      <c r="K82" s="118">
        <v>-15658</v>
      </c>
      <c r="L82" s="118">
        <v>0</v>
      </c>
      <c r="M82" s="118">
        <v>15887.24</v>
      </c>
      <c r="N82" s="118">
        <v>263.63</v>
      </c>
      <c r="O82" s="119">
        <v>0</v>
      </c>
      <c r="P82" s="119">
        <v>0</v>
      </c>
      <c r="Q82" s="119">
        <v>0</v>
      </c>
      <c r="R82" s="119">
        <v>0</v>
      </c>
      <c r="S82" s="119">
        <v>0</v>
      </c>
      <c r="T82" s="116" t="s">
        <v>1215</v>
      </c>
      <c r="U82" s="116" t="s">
        <v>92</v>
      </c>
      <c r="V82" s="116" t="s">
        <v>1209</v>
      </c>
      <c r="W82" s="116">
        <v>20171231</v>
      </c>
      <c r="X82" s="116">
        <v>20181230</v>
      </c>
      <c r="Y82" s="116"/>
      <c r="Z82" s="116" t="s">
        <v>922</v>
      </c>
      <c r="AA82" s="116" t="s">
        <v>105</v>
      </c>
      <c r="AB82" s="116" t="s">
        <v>923</v>
      </c>
      <c r="AC82" s="116" t="s">
        <v>114</v>
      </c>
      <c r="AD82" s="116">
        <v>2017</v>
      </c>
      <c r="AE82" s="116" t="s">
        <v>96</v>
      </c>
      <c r="AF82" s="116" t="s">
        <v>954</v>
      </c>
      <c r="AG82" s="116" t="s">
        <v>1592</v>
      </c>
      <c r="AH82" s="116" t="s">
        <v>1593</v>
      </c>
      <c r="AI82" s="116" t="s">
        <v>119</v>
      </c>
      <c r="AJ82" s="116" t="s">
        <v>1594</v>
      </c>
      <c r="AK82" s="116" t="s">
        <v>114</v>
      </c>
      <c r="AL82" s="116" t="s">
        <v>129</v>
      </c>
      <c r="AM82" s="116" t="s">
        <v>784</v>
      </c>
      <c r="AN82" s="116" t="s">
        <v>785</v>
      </c>
      <c r="AO82" s="120">
        <v>43200</v>
      </c>
      <c r="AP82" s="116" t="s">
        <v>111</v>
      </c>
      <c r="AQ82" s="116">
        <v>33</v>
      </c>
      <c r="AR82" s="121" t="s">
        <v>545</v>
      </c>
      <c r="AS82" s="122">
        <v>43191</v>
      </c>
      <c r="AT82" s="123"/>
      <c r="AU82" s="116"/>
      <c r="AV82" s="124"/>
      <c r="AW82" s="123"/>
      <c r="AX82" s="116" t="s">
        <v>1593</v>
      </c>
    </row>
    <row r="83" spans="1:50" ht="15" hidden="1">
      <c r="A83" s="116" t="s">
        <v>1219</v>
      </c>
      <c r="B83" s="116" t="s">
        <v>90</v>
      </c>
      <c r="C83" s="116" t="s">
        <v>91</v>
      </c>
      <c r="D83" s="117">
        <v>0</v>
      </c>
      <c r="E83" s="118">
        <v>9596.59</v>
      </c>
      <c r="F83" s="118">
        <v>0</v>
      </c>
      <c r="G83" s="118">
        <v>0</v>
      </c>
      <c r="H83" s="118">
        <v>8526.8700000000008</v>
      </c>
      <c r="I83" s="118">
        <v>1293.3699999999999</v>
      </c>
      <c r="J83" s="118">
        <v>0</v>
      </c>
      <c r="K83" s="118">
        <v>0</v>
      </c>
      <c r="L83" s="118">
        <v>0</v>
      </c>
      <c r="M83" s="118">
        <v>95.62</v>
      </c>
      <c r="N83" s="118">
        <v>9915.86</v>
      </c>
      <c r="O83" s="119">
        <v>0</v>
      </c>
      <c r="P83" s="119">
        <v>0</v>
      </c>
      <c r="Q83" s="119">
        <v>0</v>
      </c>
      <c r="R83" s="119">
        <v>8526.8700000000008</v>
      </c>
      <c r="S83" s="119">
        <v>0</v>
      </c>
      <c r="T83" s="116" t="s">
        <v>1220</v>
      </c>
      <c r="U83" s="116" t="s">
        <v>92</v>
      </c>
      <c r="V83" s="116" t="s">
        <v>1221</v>
      </c>
      <c r="W83" s="116">
        <v>20171231</v>
      </c>
      <c r="X83" s="116">
        <v>20181230</v>
      </c>
      <c r="Y83" s="116"/>
      <c r="Z83" s="116" t="s">
        <v>922</v>
      </c>
      <c r="AA83" s="116" t="s">
        <v>105</v>
      </c>
      <c r="AB83" s="116" t="s">
        <v>923</v>
      </c>
      <c r="AC83" s="116" t="s">
        <v>291</v>
      </c>
      <c r="AD83" s="116">
        <v>2018</v>
      </c>
      <c r="AE83" s="116" t="s">
        <v>96</v>
      </c>
      <c r="AF83" s="116" t="s">
        <v>289</v>
      </c>
      <c r="AG83" s="116" t="s">
        <v>1820</v>
      </c>
      <c r="AH83" s="116" t="s">
        <v>1821</v>
      </c>
      <c r="AI83" s="116" t="s">
        <v>108</v>
      </c>
      <c r="AJ83" s="116" t="s">
        <v>1822</v>
      </c>
      <c r="AK83" s="116" t="s">
        <v>291</v>
      </c>
      <c r="AL83" s="116" t="s">
        <v>129</v>
      </c>
      <c r="AM83" s="116" t="s">
        <v>863</v>
      </c>
      <c r="AN83" s="116" t="s">
        <v>864</v>
      </c>
      <c r="AO83" s="120">
        <v>43200</v>
      </c>
      <c r="AP83" s="116" t="s">
        <v>427</v>
      </c>
      <c r="AQ83" s="116">
        <v>33</v>
      </c>
      <c r="AR83" s="121" t="s">
        <v>545</v>
      </c>
      <c r="AS83" s="122">
        <v>43191</v>
      </c>
      <c r="AT83" s="123"/>
      <c r="AU83" s="116"/>
      <c r="AV83" s="124"/>
      <c r="AW83" s="123"/>
      <c r="AX83" s="116" t="s">
        <v>1821</v>
      </c>
    </row>
    <row r="84" spans="1:50" ht="15" hidden="1">
      <c r="A84" s="116" t="s">
        <v>1219</v>
      </c>
      <c r="B84" s="116" t="s">
        <v>90</v>
      </c>
      <c r="C84" s="116" t="s">
        <v>91</v>
      </c>
      <c r="D84" s="117">
        <v>0</v>
      </c>
      <c r="E84" s="118">
        <v>6362.96</v>
      </c>
      <c r="F84" s="118">
        <v>0</v>
      </c>
      <c r="G84" s="118">
        <v>0</v>
      </c>
      <c r="H84" s="118">
        <v>0</v>
      </c>
      <c r="I84" s="118">
        <v>6422.13</v>
      </c>
      <c r="J84" s="118">
        <v>0</v>
      </c>
      <c r="K84" s="118">
        <v>0</v>
      </c>
      <c r="L84" s="118">
        <v>0</v>
      </c>
      <c r="M84" s="118">
        <v>11610.84</v>
      </c>
      <c r="N84" s="118">
        <v>18032.97</v>
      </c>
      <c r="O84" s="119">
        <v>0</v>
      </c>
      <c r="P84" s="119">
        <v>0</v>
      </c>
      <c r="Q84" s="119">
        <v>0</v>
      </c>
      <c r="R84" s="119">
        <v>0</v>
      </c>
      <c r="S84" s="119">
        <v>0</v>
      </c>
      <c r="T84" s="116" t="s">
        <v>1225</v>
      </c>
      <c r="U84" s="116" t="s">
        <v>92</v>
      </c>
      <c r="V84" s="116" t="s">
        <v>1221</v>
      </c>
      <c r="W84" s="116">
        <v>20171231</v>
      </c>
      <c r="X84" s="116">
        <v>20181230</v>
      </c>
      <c r="Y84" s="116"/>
      <c r="Z84" s="116" t="s">
        <v>922</v>
      </c>
      <c r="AA84" s="116" t="s">
        <v>105</v>
      </c>
      <c r="AB84" s="116" t="s">
        <v>1210</v>
      </c>
      <c r="AC84" s="116" t="s">
        <v>106</v>
      </c>
      <c r="AD84" s="116">
        <v>2016</v>
      </c>
      <c r="AE84" s="116" t="s">
        <v>96</v>
      </c>
      <c r="AF84" s="116" t="s">
        <v>1211</v>
      </c>
      <c r="AG84" s="116" t="s">
        <v>1231</v>
      </c>
      <c r="AH84" s="116" t="s">
        <v>1232</v>
      </c>
      <c r="AI84" s="116" t="s">
        <v>162</v>
      </c>
      <c r="AJ84" s="116" t="s">
        <v>1233</v>
      </c>
      <c r="AK84" s="116" t="s">
        <v>106</v>
      </c>
      <c r="AL84" s="116" t="s">
        <v>655</v>
      </c>
      <c r="AM84" s="116" t="s">
        <v>656</v>
      </c>
      <c r="AN84" s="116" t="s">
        <v>657</v>
      </c>
      <c r="AO84" s="120">
        <v>43202</v>
      </c>
      <c r="AP84" s="116" t="s">
        <v>658</v>
      </c>
      <c r="AQ84" s="116">
        <v>33</v>
      </c>
      <c r="AR84" s="125"/>
      <c r="AS84" s="122">
        <v>43191</v>
      </c>
      <c r="AT84" s="123"/>
      <c r="AU84" s="116"/>
      <c r="AV84" s="124"/>
      <c r="AW84" s="123"/>
      <c r="AX84" s="116" t="s">
        <v>1232</v>
      </c>
    </row>
    <row r="85" spans="1:50" ht="15" hidden="1">
      <c r="A85" s="116" t="s">
        <v>1228</v>
      </c>
      <c r="B85" s="116" t="s">
        <v>90</v>
      </c>
      <c r="C85" s="116" t="s">
        <v>91</v>
      </c>
      <c r="D85" s="117">
        <v>0</v>
      </c>
      <c r="E85" s="118">
        <v>9492.2800000000007</v>
      </c>
      <c r="F85" s="118">
        <v>0</v>
      </c>
      <c r="G85" s="118">
        <v>0</v>
      </c>
      <c r="H85" s="118">
        <v>0</v>
      </c>
      <c r="I85" s="118">
        <v>1024.8800000000001</v>
      </c>
      <c r="J85" s="118">
        <v>0</v>
      </c>
      <c r="K85" s="118">
        <v>0</v>
      </c>
      <c r="L85" s="118">
        <v>0</v>
      </c>
      <c r="M85" s="118">
        <v>0</v>
      </c>
      <c r="N85" s="118">
        <v>1024.8800000000001</v>
      </c>
      <c r="O85" s="119">
        <v>0</v>
      </c>
      <c r="P85" s="119">
        <v>0</v>
      </c>
      <c r="Q85" s="119">
        <v>0</v>
      </c>
      <c r="R85" s="119">
        <v>0</v>
      </c>
      <c r="S85" s="119">
        <v>0</v>
      </c>
      <c r="T85" s="116" t="s">
        <v>1229</v>
      </c>
      <c r="U85" s="116" t="s">
        <v>92</v>
      </c>
      <c r="V85" s="116" t="s">
        <v>1230</v>
      </c>
      <c r="W85" s="116">
        <v>20171231</v>
      </c>
      <c r="X85" s="116">
        <v>20181230</v>
      </c>
      <c r="Y85" s="116"/>
      <c r="Z85" s="116" t="s">
        <v>922</v>
      </c>
      <c r="AA85" s="116" t="s">
        <v>105</v>
      </c>
      <c r="AB85" s="116" t="s">
        <v>1199</v>
      </c>
      <c r="AC85" s="116" t="s">
        <v>144</v>
      </c>
      <c r="AD85" s="116">
        <v>2016</v>
      </c>
      <c r="AE85" s="116" t="s">
        <v>96</v>
      </c>
      <c r="AF85" s="116" t="s">
        <v>1200</v>
      </c>
      <c r="AG85" s="116" t="s">
        <v>1201</v>
      </c>
      <c r="AH85" s="116" t="s">
        <v>1202</v>
      </c>
      <c r="AI85" s="116" t="s">
        <v>108</v>
      </c>
      <c r="AJ85" s="116" t="s">
        <v>1203</v>
      </c>
      <c r="AK85" s="116" t="s">
        <v>142</v>
      </c>
      <c r="AL85" s="116" t="s">
        <v>426</v>
      </c>
      <c r="AM85" s="116" t="s">
        <v>646</v>
      </c>
      <c r="AN85" s="116" t="s">
        <v>647</v>
      </c>
      <c r="AO85" s="120">
        <v>43203</v>
      </c>
      <c r="AP85" s="116" t="s">
        <v>111</v>
      </c>
      <c r="AQ85" s="116">
        <v>33</v>
      </c>
      <c r="AR85" s="121" t="s">
        <v>545</v>
      </c>
      <c r="AS85" s="122">
        <v>43191</v>
      </c>
      <c r="AT85" s="123"/>
      <c r="AU85" s="116"/>
      <c r="AV85" s="124"/>
      <c r="AW85" s="123"/>
      <c r="AX85" s="116" t="s">
        <v>1202</v>
      </c>
    </row>
    <row r="86" spans="1:50" ht="15" hidden="1">
      <c r="A86" s="116" t="s">
        <v>1234</v>
      </c>
      <c r="B86" s="116" t="s">
        <v>90</v>
      </c>
      <c r="C86" s="116" t="s">
        <v>91</v>
      </c>
      <c r="D86" s="117">
        <v>0</v>
      </c>
      <c r="E86" s="118">
        <v>11590.15</v>
      </c>
      <c r="F86" s="118">
        <v>0</v>
      </c>
      <c r="G86" s="118">
        <v>0</v>
      </c>
      <c r="H86" s="118">
        <v>3250</v>
      </c>
      <c r="I86" s="118">
        <v>2339.27</v>
      </c>
      <c r="J86" s="118">
        <v>0</v>
      </c>
      <c r="K86" s="118">
        <v>-3250</v>
      </c>
      <c r="L86" s="118">
        <v>0</v>
      </c>
      <c r="M86" s="118">
        <v>15595.14</v>
      </c>
      <c r="N86" s="118">
        <v>17934.41</v>
      </c>
      <c r="O86" s="119">
        <v>0</v>
      </c>
      <c r="P86" s="119">
        <v>3250</v>
      </c>
      <c r="Q86" s="119">
        <v>0</v>
      </c>
      <c r="R86" s="119">
        <v>0</v>
      </c>
      <c r="S86" s="119">
        <v>0</v>
      </c>
      <c r="T86" s="116" t="s">
        <v>1235</v>
      </c>
      <c r="U86" s="116" t="s">
        <v>92</v>
      </c>
      <c r="V86" s="116" t="s">
        <v>1236</v>
      </c>
      <c r="W86" s="116">
        <v>20171231</v>
      </c>
      <c r="X86" s="116">
        <v>20181230</v>
      </c>
      <c r="Y86" s="116"/>
      <c r="Z86" s="116" t="s">
        <v>922</v>
      </c>
      <c r="AA86" s="116" t="s">
        <v>105</v>
      </c>
      <c r="AB86" s="116" t="s">
        <v>923</v>
      </c>
      <c r="AC86" s="116" t="s">
        <v>106</v>
      </c>
      <c r="AD86" s="116">
        <v>2018</v>
      </c>
      <c r="AE86" s="116" t="s">
        <v>96</v>
      </c>
      <c r="AF86" s="116" t="s">
        <v>289</v>
      </c>
      <c r="AG86" s="116" t="s">
        <v>1802</v>
      </c>
      <c r="AH86" s="116" t="s">
        <v>938</v>
      </c>
      <c r="AI86" s="116" t="s">
        <v>162</v>
      </c>
      <c r="AJ86" s="116" t="s">
        <v>1803</v>
      </c>
      <c r="AK86" s="116" t="s">
        <v>551</v>
      </c>
      <c r="AL86" s="116" t="s">
        <v>129</v>
      </c>
      <c r="AM86" s="116" t="s">
        <v>855</v>
      </c>
      <c r="AN86" s="116" t="s">
        <v>856</v>
      </c>
      <c r="AO86" s="120">
        <v>43203</v>
      </c>
      <c r="AP86" s="116" t="s">
        <v>111</v>
      </c>
      <c r="AQ86" s="116">
        <v>33</v>
      </c>
      <c r="AR86" s="121" t="s">
        <v>545</v>
      </c>
      <c r="AS86" s="122">
        <v>43191</v>
      </c>
      <c r="AT86" s="123"/>
      <c r="AU86" s="116"/>
      <c r="AV86" s="124"/>
      <c r="AW86" s="123"/>
      <c r="AX86" s="116" t="s">
        <v>938</v>
      </c>
    </row>
    <row r="87" spans="1:50" ht="15" hidden="1">
      <c r="A87" s="116" t="s">
        <v>1240</v>
      </c>
      <c r="B87" s="116" t="s">
        <v>90</v>
      </c>
      <c r="C87" s="116" t="s">
        <v>91</v>
      </c>
      <c r="D87" s="117">
        <v>0</v>
      </c>
      <c r="E87" s="118">
        <v>9492.2800000000007</v>
      </c>
      <c r="F87" s="118">
        <v>0</v>
      </c>
      <c r="G87" s="118">
        <v>0</v>
      </c>
      <c r="H87" s="118">
        <v>3250</v>
      </c>
      <c r="I87" s="118">
        <v>-1788.45</v>
      </c>
      <c r="J87" s="118">
        <v>0</v>
      </c>
      <c r="K87" s="118">
        <v>-18908</v>
      </c>
      <c r="L87" s="118">
        <v>0</v>
      </c>
      <c r="M87" s="118">
        <v>3735</v>
      </c>
      <c r="N87" s="118">
        <v>-13711.45</v>
      </c>
      <c r="O87" s="119">
        <v>0</v>
      </c>
      <c r="P87" s="119">
        <v>3250</v>
      </c>
      <c r="Q87" s="119">
        <v>0</v>
      </c>
      <c r="R87" s="119">
        <v>0</v>
      </c>
      <c r="S87" s="119">
        <v>0</v>
      </c>
      <c r="T87" s="116" t="s">
        <v>1178</v>
      </c>
      <c r="U87" s="116" t="s">
        <v>92</v>
      </c>
      <c r="V87" s="116" t="s">
        <v>1241</v>
      </c>
      <c r="W87" s="116">
        <v>20171231</v>
      </c>
      <c r="X87" s="116">
        <v>20181230</v>
      </c>
      <c r="Y87" s="116"/>
      <c r="Z87" s="116" t="s">
        <v>922</v>
      </c>
      <c r="AA87" s="116" t="s">
        <v>105</v>
      </c>
      <c r="AB87" s="116" t="s">
        <v>1210</v>
      </c>
      <c r="AC87" s="116" t="s">
        <v>106</v>
      </c>
      <c r="AD87" s="116">
        <v>2018</v>
      </c>
      <c r="AE87" s="116" t="s">
        <v>96</v>
      </c>
      <c r="AF87" s="116" t="s">
        <v>1211</v>
      </c>
      <c r="AG87" s="116" t="s">
        <v>1757</v>
      </c>
      <c r="AH87" s="116" t="s">
        <v>1758</v>
      </c>
      <c r="AI87" s="116" t="s">
        <v>119</v>
      </c>
      <c r="AJ87" s="116" t="s">
        <v>1759</v>
      </c>
      <c r="AK87" s="116" t="s">
        <v>106</v>
      </c>
      <c r="AL87" s="116" t="s">
        <v>129</v>
      </c>
      <c r="AM87" s="116" t="s">
        <v>842</v>
      </c>
      <c r="AN87" s="116" t="s">
        <v>843</v>
      </c>
      <c r="AO87" s="120">
        <v>43206</v>
      </c>
      <c r="AP87" s="116" t="s">
        <v>111</v>
      </c>
      <c r="AQ87" s="116">
        <v>33</v>
      </c>
      <c r="AR87" s="121" t="s">
        <v>554</v>
      </c>
      <c r="AS87" s="122">
        <v>43191</v>
      </c>
      <c r="AT87" s="123"/>
      <c r="AU87" s="116"/>
      <c r="AV87" s="124"/>
      <c r="AW87" s="123"/>
      <c r="AX87" s="116" t="s">
        <v>1758</v>
      </c>
    </row>
    <row r="88" spans="1:50" ht="15" hidden="1">
      <c r="A88" s="116" t="s">
        <v>1240</v>
      </c>
      <c r="B88" s="116" t="s">
        <v>90</v>
      </c>
      <c r="C88" s="116" t="s">
        <v>91</v>
      </c>
      <c r="D88" s="117">
        <v>0</v>
      </c>
      <c r="E88" s="118">
        <v>12725.92</v>
      </c>
      <c r="F88" s="118">
        <v>0</v>
      </c>
      <c r="G88" s="118">
        <v>0</v>
      </c>
      <c r="H88" s="118">
        <v>5793.1</v>
      </c>
      <c r="I88" s="118">
        <v>12839.31</v>
      </c>
      <c r="J88" s="118">
        <v>0</v>
      </c>
      <c r="K88" s="118">
        <v>-7745</v>
      </c>
      <c r="L88" s="118">
        <v>0</v>
      </c>
      <c r="M88" s="118">
        <v>67806.39</v>
      </c>
      <c r="N88" s="118">
        <v>78693.8</v>
      </c>
      <c r="O88" s="119">
        <v>0</v>
      </c>
      <c r="P88" s="119">
        <v>5793.1</v>
      </c>
      <c r="Q88" s="119">
        <v>0</v>
      </c>
      <c r="R88" s="119">
        <v>0</v>
      </c>
      <c r="S88" s="119">
        <v>0</v>
      </c>
      <c r="T88" s="116" t="s">
        <v>1025</v>
      </c>
      <c r="U88" s="116" t="s">
        <v>92</v>
      </c>
      <c r="V88" s="116" t="s">
        <v>1241</v>
      </c>
      <c r="W88" s="116">
        <v>20171231</v>
      </c>
      <c r="X88" s="116">
        <v>20181230</v>
      </c>
      <c r="Y88" s="116"/>
      <c r="Z88" s="116" t="s">
        <v>922</v>
      </c>
      <c r="AA88" s="116" t="s">
        <v>105</v>
      </c>
      <c r="AB88" s="116" t="s">
        <v>923</v>
      </c>
      <c r="AC88" s="116" t="s">
        <v>106</v>
      </c>
      <c r="AD88" s="116">
        <v>2016</v>
      </c>
      <c r="AE88" s="116" t="s">
        <v>96</v>
      </c>
      <c r="AF88" s="116" t="s">
        <v>954</v>
      </c>
      <c r="AG88" s="116" t="s">
        <v>998</v>
      </c>
      <c r="AH88" s="116" t="s">
        <v>421</v>
      </c>
      <c r="AI88" s="116" t="s">
        <v>162</v>
      </c>
      <c r="AJ88" s="116" t="s">
        <v>999</v>
      </c>
      <c r="AK88" s="116" t="s">
        <v>106</v>
      </c>
      <c r="AL88" s="116" t="s">
        <v>129</v>
      </c>
      <c r="AM88" s="116" t="s">
        <v>571</v>
      </c>
      <c r="AN88" s="116" t="s">
        <v>572</v>
      </c>
      <c r="AO88" s="120">
        <v>43207</v>
      </c>
      <c r="AP88" s="116" t="s">
        <v>111</v>
      </c>
      <c r="AQ88" s="116">
        <v>33</v>
      </c>
      <c r="AR88" s="121" t="s">
        <v>545</v>
      </c>
      <c r="AS88" s="122">
        <v>43191</v>
      </c>
      <c r="AT88" s="123"/>
      <c r="AU88" s="116"/>
      <c r="AV88" s="124"/>
      <c r="AW88" s="123"/>
      <c r="AX88" s="116" t="s">
        <v>421</v>
      </c>
    </row>
    <row r="89" spans="1:50" ht="15" hidden="1">
      <c r="A89" s="116" t="s">
        <v>1247</v>
      </c>
      <c r="B89" s="116" t="s">
        <v>90</v>
      </c>
      <c r="C89" s="116" t="s">
        <v>91</v>
      </c>
      <c r="D89" s="117">
        <v>0</v>
      </c>
      <c r="E89" s="118">
        <v>1821.33</v>
      </c>
      <c r="F89" s="118">
        <v>0</v>
      </c>
      <c r="G89" s="118">
        <v>0</v>
      </c>
      <c r="H89" s="118">
        <v>2800</v>
      </c>
      <c r="I89" s="118">
        <v>420</v>
      </c>
      <c r="J89" s="118">
        <v>0</v>
      </c>
      <c r="K89" s="118">
        <v>0</v>
      </c>
      <c r="L89" s="118">
        <v>0</v>
      </c>
      <c r="M89" s="118">
        <v>0</v>
      </c>
      <c r="N89" s="118">
        <v>3220</v>
      </c>
      <c r="O89" s="119">
        <v>2800</v>
      </c>
      <c r="P89" s="119">
        <v>0</v>
      </c>
      <c r="Q89" s="119">
        <v>0</v>
      </c>
      <c r="R89" s="119">
        <v>0</v>
      </c>
      <c r="S89" s="119">
        <v>0</v>
      </c>
      <c r="T89" s="116" t="s">
        <v>1248</v>
      </c>
      <c r="U89" s="116" t="s">
        <v>92</v>
      </c>
      <c r="V89" s="116" t="s">
        <v>177</v>
      </c>
      <c r="W89" s="116">
        <v>20171231</v>
      </c>
      <c r="X89" s="116">
        <v>20181230</v>
      </c>
      <c r="Y89" s="116"/>
      <c r="Z89" s="116" t="s">
        <v>922</v>
      </c>
      <c r="AA89" s="116" t="s">
        <v>105</v>
      </c>
      <c r="AB89" s="116" t="s">
        <v>923</v>
      </c>
      <c r="AC89" s="116" t="s">
        <v>106</v>
      </c>
      <c r="AD89" s="116">
        <v>2017</v>
      </c>
      <c r="AE89" s="116" t="s">
        <v>96</v>
      </c>
      <c r="AF89" s="116" t="s">
        <v>286</v>
      </c>
      <c r="AG89" s="116" t="s">
        <v>1692</v>
      </c>
      <c r="AH89" s="116" t="s">
        <v>1693</v>
      </c>
      <c r="AI89" s="116" t="s">
        <v>162</v>
      </c>
      <c r="AJ89" s="116" t="s">
        <v>583</v>
      </c>
      <c r="AK89" s="116" t="s">
        <v>106</v>
      </c>
      <c r="AL89" s="116" t="s">
        <v>548</v>
      </c>
      <c r="AM89" s="116" t="s">
        <v>822</v>
      </c>
      <c r="AN89" s="116" t="s">
        <v>777</v>
      </c>
      <c r="AO89" s="120">
        <v>43210</v>
      </c>
      <c r="AP89" s="116" t="s">
        <v>111</v>
      </c>
      <c r="AQ89" s="116">
        <v>33</v>
      </c>
      <c r="AR89" s="125"/>
      <c r="AS89" s="122">
        <v>43191</v>
      </c>
      <c r="AT89" s="123"/>
      <c r="AU89" s="116"/>
      <c r="AV89" s="124"/>
      <c r="AW89" s="123"/>
      <c r="AX89" s="116" t="s">
        <v>1693</v>
      </c>
    </row>
    <row r="90" spans="1:50" ht="15" hidden="1">
      <c r="A90" s="116" t="s">
        <v>1251</v>
      </c>
      <c r="B90" s="116" t="s">
        <v>90</v>
      </c>
      <c r="C90" s="116" t="s">
        <v>91</v>
      </c>
      <c r="D90" s="117">
        <v>0</v>
      </c>
      <c r="E90" s="118">
        <v>7867.8</v>
      </c>
      <c r="F90" s="118">
        <v>0</v>
      </c>
      <c r="G90" s="118">
        <v>0</v>
      </c>
      <c r="H90" s="118">
        <v>38188.550000000003</v>
      </c>
      <c r="I90" s="118">
        <v>4753.8500000000004</v>
      </c>
      <c r="J90" s="118">
        <v>0</v>
      </c>
      <c r="K90" s="118">
        <v>-6496.25</v>
      </c>
      <c r="L90" s="118">
        <v>0</v>
      </c>
      <c r="M90" s="118">
        <v>0</v>
      </c>
      <c r="N90" s="118">
        <v>36446.15</v>
      </c>
      <c r="O90" s="119">
        <v>33788.550000000003</v>
      </c>
      <c r="P90" s="119">
        <v>4400</v>
      </c>
      <c r="Q90" s="119">
        <v>0</v>
      </c>
      <c r="R90" s="119">
        <v>0</v>
      </c>
      <c r="S90" s="119">
        <v>0</v>
      </c>
      <c r="T90" s="116" t="s">
        <v>1252</v>
      </c>
      <c r="U90" s="116" t="s">
        <v>92</v>
      </c>
      <c r="V90" s="116" t="s">
        <v>179</v>
      </c>
      <c r="W90" s="116">
        <v>20171231</v>
      </c>
      <c r="X90" s="116">
        <v>20181230</v>
      </c>
      <c r="Y90" s="116"/>
      <c r="Z90" s="116" t="s">
        <v>922</v>
      </c>
      <c r="AA90" s="116" t="s">
        <v>105</v>
      </c>
      <c r="AB90" s="116" t="s">
        <v>923</v>
      </c>
      <c r="AC90" s="116" t="s">
        <v>122</v>
      </c>
      <c r="AD90" s="116">
        <v>2016</v>
      </c>
      <c r="AE90" s="116" t="s">
        <v>96</v>
      </c>
      <c r="AF90" s="116" t="s">
        <v>954</v>
      </c>
      <c r="AG90" s="116" t="s">
        <v>1179</v>
      </c>
      <c r="AH90" s="116"/>
      <c r="AI90" s="116" t="s">
        <v>162</v>
      </c>
      <c r="AJ90" s="116" t="s">
        <v>1180</v>
      </c>
      <c r="AK90" s="116" t="s">
        <v>131</v>
      </c>
      <c r="AL90" s="116" t="s">
        <v>129</v>
      </c>
      <c r="AM90" s="116" t="s">
        <v>639</v>
      </c>
      <c r="AN90" s="116" t="s">
        <v>640</v>
      </c>
      <c r="AO90" s="120">
        <v>43214</v>
      </c>
      <c r="AP90" s="116" t="s">
        <v>111</v>
      </c>
      <c r="AQ90" s="116">
        <v>33</v>
      </c>
      <c r="AR90" s="123"/>
      <c r="AS90" s="122">
        <v>43191</v>
      </c>
      <c r="AT90" s="123"/>
      <c r="AU90" s="116"/>
      <c r="AV90" s="124"/>
      <c r="AW90" s="123"/>
      <c r="AX90" s="116"/>
    </row>
    <row r="91" spans="1:50" ht="15" hidden="1">
      <c r="A91" s="116" t="s">
        <v>1256</v>
      </c>
      <c r="B91" s="116" t="s">
        <v>90</v>
      </c>
      <c r="C91" s="116" t="s">
        <v>91</v>
      </c>
      <c r="D91" s="117">
        <v>0</v>
      </c>
      <c r="E91" s="118">
        <v>539.29</v>
      </c>
      <c r="F91" s="118">
        <v>0</v>
      </c>
      <c r="G91" s="118">
        <v>0</v>
      </c>
      <c r="H91" s="118">
        <v>0</v>
      </c>
      <c r="I91" s="118">
        <v>-2348.6999999999998</v>
      </c>
      <c r="J91" s="118">
        <v>0</v>
      </c>
      <c r="K91" s="118">
        <v>-15658</v>
      </c>
      <c r="L91" s="118">
        <v>0</v>
      </c>
      <c r="M91" s="118">
        <v>0</v>
      </c>
      <c r="N91" s="118">
        <v>-18006.7</v>
      </c>
      <c r="O91" s="119">
        <v>0</v>
      </c>
      <c r="P91" s="119">
        <v>0</v>
      </c>
      <c r="Q91" s="119">
        <v>0</v>
      </c>
      <c r="R91" s="119">
        <v>0</v>
      </c>
      <c r="S91" s="119">
        <v>0</v>
      </c>
      <c r="T91" s="116" t="s">
        <v>959</v>
      </c>
      <c r="U91" s="116" t="s">
        <v>92</v>
      </c>
      <c r="V91" s="116" t="s">
        <v>185</v>
      </c>
      <c r="W91" s="116">
        <v>20171231</v>
      </c>
      <c r="X91" s="116">
        <v>20181230</v>
      </c>
      <c r="Y91" s="116"/>
      <c r="Z91" s="116" t="s">
        <v>922</v>
      </c>
      <c r="AA91" s="116" t="s">
        <v>105</v>
      </c>
      <c r="AB91" s="116" t="s">
        <v>1210</v>
      </c>
      <c r="AC91" s="116" t="s">
        <v>106</v>
      </c>
      <c r="AD91" s="116">
        <v>2016</v>
      </c>
      <c r="AE91" s="116" t="s">
        <v>96</v>
      </c>
      <c r="AF91" s="116" t="s">
        <v>1211</v>
      </c>
      <c r="AG91" s="116" t="s">
        <v>1242</v>
      </c>
      <c r="AH91" s="116" t="s">
        <v>1243</v>
      </c>
      <c r="AI91" s="116" t="s">
        <v>108</v>
      </c>
      <c r="AJ91" s="116" t="s">
        <v>1244</v>
      </c>
      <c r="AK91" s="116" t="s">
        <v>106</v>
      </c>
      <c r="AL91" s="116" t="s">
        <v>129</v>
      </c>
      <c r="AM91" s="116" t="s">
        <v>661</v>
      </c>
      <c r="AN91" s="116" t="s">
        <v>662</v>
      </c>
      <c r="AO91" s="120">
        <v>43214</v>
      </c>
      <c r="AP91" s="116" t="s">
        <v>111</v>
      </c>
      <c r="AQ91" s="116">
        <v>33</v>
      </c>
      <c r="AR91" s="121" t="s">
        <v>545</v>
      </c>
      <c r="AS91" s="122">
        <v>43191</v>
      </c>
      <c r="AT91" s="123"/>
      <c r="AU91" s="116"/>
      <c r="AV91" s="124"/>
      <c r="AW91" s="123"/>
      <c r="AX91" s="116" t="s">
        <v>1243</v>
      </c>
    </row>
    <row r="92" spans="1:50" ht="15" hidden="1">
      <c r="A92" s="116" t="s">
        <v>1260</v>
      </c>
      <c r="B92" s="116" t="s">
        <v>90</v>
      </c>
      <c r="C92" s="116" t="s">
        <v>91</v>
      </c>
      <c r="D92" s="117">
        <v>0</v>
      </c>
      <c r="E92" s="118">
        <v>6050.03</v>
      </c>
      <c r="F92" s="118">
        <v>37969.089999999997</v>
      </c>
      <c r="G92" s="118">
        <v>37969.089999999997</v>
      </c>
      <c r="H92" s="118">
        <v>15658</v>
      </c>
      <c r="I92" s="118">
        <v>2348.6999999999998</v>
      </c>
      <c r="J92" s="118">
        <v>0</v>
      </c>
      <c r="K92" s="118">
        <v>0</v>
      </c>
      <c r="L92" s="118">
        <v>0</v>
      </c>
      <c r="M92" s="118">
        <v>0</v>
      </c>
      <c r="N92" s="118">
        <v>18006.7</v>
      </c>
      <c r="O92" s="119">
        <v>0</v>
      </c>
      <c r="P92" s="119">
        <v>0</v>
      </c>
      <c r="Q92" s="119">
        <v>0</v>
      </c>
      <c r="R92" s="119">
        <v>15658</v>
      </c>
      <c r="S92" s="119">
        <v>0</v>
      </c>
      <c r="T92" s="116" t="s">
        <v>1261</v>
      </c>
      <c r="U92" s="116" t="s">
        <v>92</v>
      </c>
      <c r="V92" s="116" t="s">
        <v>1262</v>
      </c>
      <c r="W92" s="116">
        <v>20171231</v>
      </c>
      <c r="X92" s="116">
        <v>20181230</v>
      </c>
      <c r="Y92" s="116"/>
      <c r="Z92" s="116" t="s">
        <v>922</v>
      </c>
      <c r="AA92" s="116" t="s">
        <v>105</v>
      </c>
      <c r="AB92" s="116" t="s">
        <v>923</v>
      </c>
      <c r="AC92" s="116" t="s">
        <v>106</v>
      </c>
      <c r="AD92" s="116">
        <v>2017</v>
      </c>
      <c r="AE92" s="116" t="s">
        <v>96</v>
      </c>
      <c r="AF92" s="116" t="s">
        <v>954</v>
      </c>
      <c r="AG92" s="116" t="s">
        <v>1506</v>
      </c>
      <c r="AH92" s="116" t="s">
        <v>1507</v>
      </c>
      <c r="AI92" s="116" t="s">
        <v>119</v>
      </c>
      <c r="AJ92" s="116" t="s">
        <v>1508</v>
      </c>
      <c r="AK92" s="116" t="s">
        <v>106</v>
      </c>
      <c r="AL92" s="116" t="s">
        <v>129</v>
      </c>
      <c r="AM92" s="116" t="s">
        <v>756</v>
      </c>
      <c r="AN92" s="116" t="s">
        <v>757</v>
      </c>
      <c r="AO92" s="120">
        <v>43215</v>
      </c>
      <c r="AP92" s="116" t="s">
        <v>111</v>
      </c>
      <c r="AQ92" s="116">
        <v>33</v>
      </c>
      <c r="AR92" s="121" t="s">
        <v>545</v>
      </c>
      <c r="AS92" s="122">
        <v>43191</v>
      </c>
      <c r="AT92" s="123"/>
      <c r="AU92" s="116"/>
      <c r="AV92" s="124"/>
      <c r="AW92" s="123"/>
      <c r="AX92" s="116" t="s">
        <v>1507</v>
      </c>
    </row>
    <row r="93" spans="1:50" ht="15" hidden="1">
      <c r="A93" s="116" t="s">
        <v>1260</v>
      </c>
      <c r="B93" s="116" t="s">
        <v>90</v>
      </c>
      <c r="C93" s="116" t="s">
        <v>91</v>
      </c>
      <c r="D93" s="117">
        <v>0</v>
      </c>
      <c r="E93" s="118">
        <v>6258.65</v>
      </c>
      <c r="F93" s="118">
        <v>0</v>
      </c>
      <c r="G93" s="118">
        <v>0</v>
      </c>
      <c r="H93" s="118">
        <v>0</v>
      </c>
      <c r="I93" s="118">
        <v>7726.93</v>
      </c>
      <c r="J93" s="118">
        <v>0</v>
      </c>
      <c r="K93" s="118">
        <v>0</v>
      </c>
      <c r="L93" s="118">
        <v>0</v>
      </c>
      <c r="M93" s="118">
        <v>51512.85</v>
      </c>
      <c r="N93" s="118">
        <v>59239.78</v>
      </c>
      <c r="O93" s="119">
        <v>0</v>
      </c>
      <c r="P93" s="119">
        <v>0</v>
      </c>
      <c r="Q93" s="119">
        <v>0</v>
      </c>
      <c r="R93" s="119">
        <v>0</v>
      </c>
      <c r="S93" s="119">
        <v>0</v>
      </c>
      <c r="T93" s="116" t="s">
        <v>1266</v>
      </c>
      <c r="U93" s="116" t="s">
        <v>92</v>
      </c>
      <c r="V93" s="116" t="s">
        <v>1262</v>
      </c>
      <c r="W93" s="116">
        <v>20171231</v>
      </c>
      <c r="X93" s="116">
        <v>20181230</v>
      </c>
      <c r="Y93" s="116"/>
      <c r="Z93" s="116" t="s">
        <v>922</v>
      </c>
      <c r="AA93" s="116" t="s">
        <v>105</v>
      </c>
      <c r="AB93" s="116" t="s">
        <v>923</v>
      </c>
      <c r="AC93" s="116" t="s">
        <v>106</v>
      </c>
      <c r="AD93" s="116">
        <v>2017</v>
      </c>
      <c r="AE93" s="116" t="s">
        <v>96</v>
      </c>
      <c r="AF93" s="116" t="s">
        <v>954</v>
      </c>
      <c r="AG93" s="116" t="s">
        <v>1309</v>
      </c>
      <c r="AH93" s="116" t="s">
        <v>428</v>
      </c>
      <c r="AI93" s="116" t="s">
        <v>119</v>
      </c>
      <c r="AJ93" s="116" t="s">
        <v>1310</v>
      </c>
      <c r="AK93" s="116" t="s">
        <v>106</v>
      </c>
      <c r="AL93" s="116" t="s">
        <v>129</v>
      </c>
      <c r="AM93" s="116" t="s">
        <v>689</v>
      </c>
      <c r="AN93" s="116" t="s">
        <v>690</v>
      </c>
      <c r="AO93" s="120">
        <v>43219</v>
      </c>
      <c r="AP93" s="116" t="s">
        <v>111</v>
      </c>
      <c r="AQ93" s="116">
        <v>33</v>
      </c>
      <c r="AR93" s="121" t="s">
        <v>554</v>
      </c>
      <c r="AS93" s="122">
        <v>43191</v>
      </c>
      <c r="AT93" s="123"/>
      <c r="AU93" s="116"/>
      <c r="AV93" s="124"/>
      <c r="AW93" s="123"/>
      <c r="AX93" s="116" t="s">
        <v>428</v>
      </c>
    </row>
    <row r="94" spans="1:50" ht="15" hidden="1">
      <c r="A94" s="116" t="s">
        <v>1270</v>
      </c>
      <c r="B94" s="116" t="s">
        <v>90</v>
      </c>
      <c r="C94" s="116" t="s">
        <v>91</v>
      </c>
      <c r="D94" s="117">
        <v>0</v>
      </c>
      <c r="E94" s="118">
        <v>3233.63</v>
      </c>
      <c r="F94" s="118">
        <v>0</v>
      </c>
      <c r="G94" s="118">
        <v>0</v>
      </c>
      <c r="H94" s="118">
        <v>15658</v>
      </c>
      <c r="I94" s="118">
        <v>2348.6999999999998</v>
      </c>
      <c r="J94" s="118">
        <v>0</v>
      </c>
      <c r="K94" s="118">
        <v>0</v>
      </c>
      <c r="L94" s="118">
        <v>0</v>
      </c>
      <c r="M94" s="118">
        <v>0</v>
      </c>
      <c r="N94" s="118">
        <v>18006.7</v>
      </c>
      <c r="O94" s="119">
        <v>0</v>
      </c>
      <c r="P94" s="119">
        <v>0</v>
      </c>
      <c r="Q94" s="119">
        <v>0</v>
      </c>
      <c r="R94" s="119">
        <v>15658</v>
      </c>
      <c r="S94" s="119">
        <v>0</v>
      </c>
      <c r="T94" s="116" t="s">
        <v>1271</v>
      </c>
      <c r="U94" s="116" t="s">
        <v>92</v>
      </c>
      <c r="V94" s="116" t="s">
        <v>1272</v>
      </c>
      <c r="W94" s="116">
        <v>20171231</v>
      </c>
      <c r="X94" s="116">
        <v>20181230</v>
      </c>
      <c r="Y94" s="116"/>
      <c r="Z94" s="116" t="s">
        <v>922</v>
      </c>
      <c r="AA94" s="116" t="s">
        <v>105</v>
      </c>
      <c r="AB94" s="116" t="s">
        <v>923</v>
      </c>
      <c r="AC94" s="116" t="s">
        <v>137</v>
      </c>
      <c r="AD94" s="116">
        <v>2016</v>
      </c>
      <c r="AE94" s="116" t="s">
        <v>96</v>
      </c>
      <c r="AF94" s="116" t="s">
        <v>954</v>
      </c>
      <c r="AG94" s="116" t="s">
        <v>1155</v>
      </c>
      <c r="AH94" s="116" t="s">
        <v>1156</v>
      </c>
      <c r="AI94" s="116" t="s">
        <v>119</v>
      </c>
      <c r="AJ94" s="116" t="s">
        <v>1157</v>
      </c>
      <c r="AK94" s="116" t="s">
        <v>137</v>
      </c>
      <c r="AL94" s="116" t="s">
        <v>129</v>
      </c>
      <c r="AM94" s="116" t="s">
        <v>513</v>
      </c>
      <c r="AN94" s="116" t="s">
        <v>629</v>
      </c>
      <c r="AO94" s="120">
        <v>43220</v>
      </c>
      <c r="AP94" s="116" t="s">
        <v>111</v>
      </c>
      <c r="AQ94" s="116">
        <v>33</v>
      </c>
      <c r="AR94" s="121" t="s">
        <v>554</v>
      </c>
      <c r="AS94" s="122">
        <v>43191</v>
      </c>
      <c r="AT94" s="123"/>
      <c r="AU94" s="116"/>
      <c r="AV94" s="124"/>
      <c r="AW94" s="123"/>
      <c r="AX94" s="116" t="s">
        <v>1156</v>
      </c>
    </row>
    <row r="95" spans="1:50" ht="15" hidden="1">
      <c r="A95" s="116" t="s">
        <v>1276</v>
      </c>
      <c r="B95" s="116" t="s">
        <v>90</v>
      </c>
      <c r="C95" s="116" t="s">
        <v>91</v>
      </c>
      <c r="D95" s="117">
        <v>0</v>
      </c>
      <c r="E95" s="118">
        <v>15855.24</v>
      </c>
      <c r="F95" s="118">
        <v>0</v>
      </c>
      <c r="G95" s="118">
        <v>0</v>
      </c>
      <c r="H95" s="118">
        <v>5793.1</v>
      </c>
      <c r="I95" s="118">
        <v>15688.83</v>
      </c>
      <c r="J95" s="118">
        <v>0</v>
      </c>
      <c r="K95" s="118">
        <v>-7745.65</v>
      </c>
      <c r="L95" s="118">
        <v>0</v>
      </c>
      <c r="M95" s="118">
        <v>92889.51</v>
      </c>
      <c r="N95" s="118">
        <v>106625.79</v>
      </c>
      <c r="O95" s="119">
        <v>0</v>
      </c>
      <c r="P95" s="119">
        <v>5793.1</v>
      </c>
      <c r="Q95" s="119">
        <v>0</v>
      </c>
      <c r="R95" s="119">
        <v>0</v>
      </c>
      <c r="S95" s="119">
        <v>0</v>
      </c>
      <c r="T95" s="116" t="s">
        <v>1277</v>
      </c>
      <c r="U95" s="116" t="s">
        <v>92</v>
      </c>
      <c r="V95" s="116" t="s">
        <v>1278</v>
      </c>
      <c r="W95" s="116">
        <v>20171231</v>
      </c>
      <c r="X95" s="116">
        <v>20181230</v>
      </c>
      <c r="Y95" s="116"/>
      <c r="Z95" s="116" t="s">
        <v>922</v>
      </c>
      <c r="AA95" s="116" t="s">
        <v>105</v>
      </c>
      <c r="AB95" s="116" t="s">
        <v>923</v>
      </c>
      <c r="AC95" s="116" t="s">
        <v>200</v>
      </c>
      <c r="AD95" s="116">
        <v>2017</v>
      </c>
      <c r="AE95" s="116" t="s">
        <v>96</v>
      </c>
      <c r="AF95" s="116" t="s">
        <v>954</v>
      </c>
      <c r="AG95" s="116" t="s">
        <v>1359</v>
      </c>
      <c r="AH95" s="116" t="s">
        <v>1357</v>
      </c>
      <c r="AI95" s="116" t="s">
        <v>108</v>
      </c>
      <c r="AJ95" s="116" t="s">
        <v>1360</v>
      </c>
      <c r="AK95" s="116" t="s">
        <v>200</v>
      </c>
      <c r="AL95" s="116" t="s">
        <v>129</v>
      </c>
      <c r="AM95" s="116" t="s">
        <v>710</v>
      </c>
      <c r="AN95" s="116" t="s">
        <v>711</v>
      </c>
      <c r="AO95" s="120">
        <v>43220</v>
      </c>
      <c r="AP95" s="116" t="s">
        <v>111</v>
      </c>
      <c r="AQ95" s="116">
        <v>33</v>
      </c>
      <c r="AR95" s="121" t="s">
        <v>554</v>
      </c>
      <c r="AS95" s="122">
        <v>43191</v>
      </c>
      <c r="AT95" s="123"/>
      <c r="AU95" s="116"/>
      <c r="AV95" s="124"/>
      <c r="AW95" s="123"/>
      <c r="AX95" s="116" t="s">
        <v>1357</v>
      </c>
    </row>
    <row r="96" spans="1:50" ht="15" hidden="1">
      <c r="A96" s="116" t="s">
        <v>1282</v>
      </c>
      <c r="B96" s="116" t="s">
        <v>90</v>
      </c>
      <c r="C96" s="116" t="s">
        <v>91</v>
      </c>
      <c r="D96" s="117">
        <v>0</v>
      </c>
      <c r="E96" s="118">
        <v>626.58000000000004</v>
      </c>
      <c r="F96" s="118">
        <v>0</v>
      </c>
      <c r="G96" s="118">
        <v>0</v>
      </c>
      <c r="H96" s="118">
        <v>4232</v>
      </c>
      <c r="I96" s="118">
        <v>1117.92</v>
      </c>
      <c r="J96" s="118">
        <v>0</v>
      </c>
      <c r="K96" s="118">
        <v>0</v>
      </c>
      <c r="L96" s="118">
        <v>0</v>
      </c>
      <c r="M96" s="118">
        <v>0.82</v>
      </c>
      <c r="N96" s="118">
        <v>5350.74</v>
      </c>
      <c r="O96" s="119">
        <v>0</v>
      </c>
      <c r="P96" s="119">
        <v>0</v>
      </c>
      <c r="Q96" s="119">
        <v>0</v>
      </c>
      <c r="R96" s="119">
        <v>4232</v>
      </c>
      <c r="S96" s="119">
        <v>0</v>
      </c>
      <c r="T96" s="116" t="s">
        <v>992</v>
      </c>
      <c r="U96" s="116" t="s">
        <v>92</v>
      </c>
      <c r="V96" s="116" t="s">
        <v>186</v>
      </c>
      <c r="W96" s="116">
        <v>20171231</v>
      </c>
      <c r="X96" s="116">
        <v>20181230</v>
      </c>
      <c r="Y96" s="116"/>
      <c r="Z96" s="116" t="s">
        <v>922</v>
      </c>
      <c r="AA96" s="116" t="s">
        <v>105</v>
      </c>
      <c r="AB96" s="116" t="s">
        <v>923</v>
      </c>
      <c r="AC96" s="116" t="s">
        <v>142</v>
      </c>
      <c r="AD96" s="116">
        <v>2017</v>
      </c>
      <c r="AE96" s="116" t="s">
        <v>96</v>
      </c>
      <c r="AF96" s="116" t="s">
        <v>954</v>
      </c>
      <c r="AG96" s="116" t="s">
        <v>1664</v>
      </c>
      <c r="AH96" s="116" t="s">
        <v>1662</v>
      </c>
      <c r="AI96" s="116" t="s">
        <v>119</v>
      </c>
      <c r="AJ96" s="116" t="s">
        <v>1665</v>
      </c>
      <c r="AK96" s="116" t="s">
        <v>142</v>
      </c>
      <c r="AL96" s="116" t="s">
        <v>129</v>
      </c>
      <c r="AM96" s="116" t="s">
        <v>618</v>
      </c>
      <c r="AN96" s="116" t="s">
        <v>812</v>
      </c>
      <c r="AO96" s="120">
        <v>43220</v>
      </c>
      <c r="AP96" s="116" t="s">
        <v>111</v>
      </c>
      <c r="AQ96" s="116">
        <v>33</v>
      </c>
      <c r="AR96" s="121" t="s">
        <v>545</v>
      </c>
      <c r="AS96" s="122">
        <v>43191</v>
      </c>
      <c r="AT96" s="123"/>
      <c r="AU96" s="116"/>
      <c r="AV96" s="124"/>
      <c r="AW96" s="123"/>
      <c r="AX96" s="116" t="s">
        <v>1662</v>
      </c>
    </row>
    <row r="97" spans="1:50" ht="15" hidden="1">
      <c r="A97" s="116" t="s">
        <v>1286</v>
      </c>
      <c r="B97" s="116" t="s">
        <v>90</v>
      </c>
      <c r="C97" s="116" t="s">
        <v>91</v>
      </c>
      <c r="D97" s="117">
        <v>0</v>
      </c>
      <c r="E97" s="118">
        <v>647.46</v>
      </c>
      <c r="F97" s="118">
        <v>0</v>
      </c>
      <c r="G97" s="118">
        <v>0</v>
      </c>
      <c r="H97" s="118">
        <v>0</v>
      </c>
      <c r="I97" s="118">
        <v>0</v>
      </c>
      <c r="J97" s="118">
        <v>0</v>
      </c>
      <c r="K97" s="118">
        <v>0</v>
      </c>
      <c r="L97" s="118">
        <v>0</v>
      </c>
      <c r="M97" s="118">
        <v>0</v>
      </c>
      <c r="N97" s="118">
        <v>0</v>
      </c>
      <c r="O97" s="119">
        <v>0</v>
      </c>
      <c r="P97" s="119">
        <v>0</v>
      </c>
      <c r="Q97" s="119">
        <v>0</v>
      </c>
      <c r="R97" s="119">
        <v>0</v>
      </c>
      <c r="S97" s="119">
        <v>0</v>
      </c>
      <c r="T97" s="116" t="s">
        <v>1287</v>
      </c>
      <c r="U97" s="116" t="s">
        <v>92</v>
      </c>
      <c r="V97" s="116" t="s">
        <v>187</v>
      </c>
      <c r="W97" s="116">
        <v>20171231</v>
      </c>
      <c r="X97" s="116">
        <v>20181230</v>
      </c>
      <c r="Y97" s="116"/>
      <c r="Z97" s="116" t="s">
        <v>922</v>
      </c>
      <c r="AA97" s="116" t="s">
        <v>105</v>
      </c>
      <c r="AB97" s="116" t="s">
        <v>923</v>
      </c>
      <c r="AC97" s="116" t="s">
        <v>114</v>
      </c>
      <c r="AD97" s="116">
        <v>2017</v>
      </c>
      <c r="AE97" s="116" t="s">
        <v>96</v>
      </c>
      <c r="AF97" s="116" t="s">
        <v>954</v>
      </c>
      <c r="AG97" s="116" t="s">
        <v>1668</v>
      </c>
      <c r="AH97" s="116"/>
      <c r="AI97" s="116" t="s">
        <v>119</v>
      </c>
      <c r="AJ97" s="116" t="s">
        <v>1669</v>
      </c>
      <c r="AK97" s="116" t="s">
        <v>128</v>
      </c>
      <c r="AL97" s="116" t="s">
        <v>129</v>
      </c>
      <c r="AM97" s="116" t="s">
        <v>813</v>
      </c>
      <c r="AN97" s="116" t="s">
        <v>814</v>
      </c>
      <c r="AO97" s="120">
        <v>43221</v>
      </c>
      <c r="AP97" s="116" t="s">
        <v>111</v>
      </c>
      <c r="AQ97" s="116">
        <v>33</v>
      </c>
      <c r="AR97" s="121" t="s">
        <v>545</v>
      </c>
      <c r="AS97" s="122">
        <v>43191</v>
      </c>
      <c r="AT97" s="123"/>
      <c r="AU97" s="116"/>
      <c r="AV97" s="124"/>
      <c r="AW97" s="123"/>
      <c r="AX97" s="116"/>
    </row>
    <row r="98" spans="1:50" ht="15" hidden="1">
      <c r="A98" s="116" t="s">
        <v>1286</v>
      </c>
      <c r="B98" s="116" t="s">
        <v>90</v>
      </c>
      <c r="C98" s="116" t="s">
        <v>91</v>
      </c>
      <c r="D98" s="117">
        <v>0</v>
      </c>
      <c r="E98" s="118">
        <v>1274.04</v>
      </c>
      <c r="F98" s="118">
        <v>0</v>
      </c>
      <c r="G98" s="118">
        <v>0</v>
      </c>
      <c r="H98" s="118">
        <v>1440</v>
      </c>
      <c r="I98" s="118">
        <v>216</v>
      </c>
      <c r="J98" s="118">
        <v>0</v>
      </c>
      <c r="K98" s="118">
        <v>0</v>
      </c>
      <c r="L98" s="118">
        <v>0</v>
      </c>
      <c r="M98" s="118">
        <v>0</v>
      </c>
      <c r="N98" s="118">
        <v>1656</v>
      </c>
      <c r="O98" s="119">
        <v>1440</v>
      </c>
      <c r="P98" s="119">
        <v>0</v>
      </c>
      <c r="Q98" s="119">
        <v>0</v>
      </c>
      <c r="R98" s="119">
        <v>0</v>
      </c>
      <c r="S98" s="119">
        <v>0</v>
      </c>
      <c r="T98" s="116" t="s">
        <v>1290</v>
      </c>
      <c r="U98" s="116" t="s">
        <v>92</v>
      </c>
      <c r="V98" s="116" t="s">
        <v>187</v>
      </c>
      <c r="W98" s="116">
        <v>20171231</v>
      </c>
      <c r="X98" s="116">
        <v>20181230</v>
      </c>
      <c r="Y98" s="116"/>
      <c r="Z98" s="116" t="s">
        <v>922</v>
      </c>
      <c r="AA98" s="116" t="s">
        <v>105</v>
      </c>
      <c r="AB98" s="116" t="s">
        <v>923</v>
      </c>
      <c r="AC98" s="116" t="s">
        <v>114</v>
      </c>
      <c r="AD98" s="116">
        <v>2017</v>
      </c>
      <c r="AE98" s="116" t="s">
        <v>96</v>
      </c>
      <c r="AF98" s="116" t="s">
        <v>954</v>
      </c>
      <c r="AG98" s="116" t="s">
        <v>1619</v>
      </c>
      <c r="AH98" s="116"/>
      <c r="AI98" s="116" t="s">
        <v>162</v>
      </c>
      <c r="AJ98" s="116" t="s">
        <v>1620</v>
      </c>
      <c r="AK98" s="116" t="s">
        <v>114</v>
      </c>
      <c r="AL98" s="116" t="s">
        <v>129</v>
      </c>
      <c r="AM98" s="116" t="s">
        <v>606</v>
      </c>
      <c r="AN98" s="116" t="s">
        <v>794</v>
      </c>
      <c r="AO98" s="120">
        <v>43227</v>
      </c>
      <c r="AP98" s="116" t="s">
        <v>111</v>
      </c>
      <c r="AQ98" s="116">
        <v>33</v>
      </c>
      <c r="AR98" s="121" t="s">
        <v>554</v>
      </c>
      <c r="AS98" s="122">
        <v>43221</v>
      </c>
      <c r="AT98" s="123"/>
      <c r="AU98" s="116"/>
      <c r="AV98" s="124"/>
      <c r="AW98" s="123"/>
      <c r="AX98" s="116"/>
    </row>
    <row r="99" spans="1:50" ht="15" hidden="1">
      <c r="A99" s="116" t="s">
        <v>1292</v>
      </c>
      <c r="B99" s="116" t="s">
        <v>90</v>
      </c>
      <c r="C99" s="116" t="s">
        <v>91</v>
      </c>
      <c r="D99" s="117">
        <v>0</v>
      </c>
      <c r="E99" s="118">
        <v>3780.35</v>
      </c>
      <c r="F99" s="118">
        <v>7602.47</v>
      </c>
      <c r="G99" s="118">
        <v>7602.47</v>
      </c>
      <c r="H99" s="118">
        <v>48674.76</v>
      </c>
      <c r="I99" s="118">
        <v>7301.21</v>
      </c>
      <c r="J99" s="118">
        <v>0</v>
      </c>
      <c r="K99" s="118">
        <v>0</v>
      </c>
      <c r="L99" s="118">
        <v>0</v>
      </c>
      <c r="M99" s="118">
        <v>0</v>
      </c>
      <c r="N99" s="118">
        <v>55975.97</v>
      </c>
      <c r="O99" s="119">
        <v>20806.73</v>
      </c>
      <c r="P99" s="119">
        <v>3250</v>
      </c>
      <c r="Q99" s="119">
        <v>0</v>
      </c>
      <c r="R99" s="119">
        <v>24618.03</v>
      </c>
      <c r="S99" s="119">
        <v>0</v>
      </c>
      <c r="T99" s="116" t="s">
        <v>1293</v>
      </c>
      <c r="U99" s="116" t="s">
        <v>92</v>
      </c>
      <c r="V99" s="116" t="s">
        <v>1294</v>
      </c>
      <c r="W99" s="116">
        <v>20171231</v>
      </c>
      <c r="X99" s="116">
        <v>20181230</v>
      </c>
      <c r="Y99" s="116"/>
      <c r="Z99" s="116" t="s">
        <v>922</v>
      </c>
      <c r="AA99" s="116" t="s">
        <v>105</v>
      </c>
      <c r="AB99" s="116" t="s">
        <v>923</v>
      </c>
      <c r="AC99" s="116" t="s">
        <v>168</v>
      </c>
      <c r="AD99" s="116">
        <v>2017</v>
      </c>
      <c r="AE99" s="116" t="s">
        <v>96</v>
      </c>
      <c r="AF99" s="116" t="s">
        <v>954</v>
      </c>
      <c r="AG99" s="116" t="s">
        <v>1615</v>
      </c>
      <c r="AH99" s="116"/>
      <c r="AI99" s="116" t="s">
        <v>119</v>
      </c>
      <c r="AJ99" s="116" t="s">
        <v>1616</v>
      </c>
      <c r="AK99" s="116" t="s">
        <v>168</v>
      </c>
      <c r="AL99" s="116" t="s">
        <v>129</v>
      </c>
      <c r="AM99" s="116" t="s">
        <v>793</v>
      </c>
      <c r="AN99" s="116" t="s">
        <v>575</v>
      </c>
      <c r="AO99" s="120">
        <v>43228</v>
      </c>
      <c r="AP99" s="116" t="s">
        <v>111</v>
      </c>
      <c r="AQ99" s="116">
        <v>33</v>
      </c>
      <c r="AR99" s="121" t="s">
        <v>545</v>
      </c>
      <c r="AS99" s="122">
        <v>43221</v>
      </c>
      <c r="AT99" s="123"/>
      <c r="AU99" s="116"/>
      <c r="AV99" s="124"/>
      <c r="AW99" s="123"/>
      <c r="AX99" s="116"/>
    </row>
    <row r="100" spans="1:50" ht="15" hidden="1">
      <c r="A100" s="116" t="s">
        <v>1292</v>
      </c>
      <c r="B100" s="116" t="s">
        <v>90</v>
      </c>
      <c r="C100" s="116" t="s">
        <v>91</v>
      </c>
      <c r="D100" s="117">
        <v>0</v>
      </c>
      <c r="E100" s="118">
        <v>2548.08</v>
      </c>
      <c r="F100" s="118">
        <v>0</v>
      </c>
      <c r="G100" s="118">
        <v>0</v>
      </c>
      <c r="H100" s="118">
        <v>124256.76</v>
      </c>
      <c r="I100" s="118">
        <v>34272.870000000003</v>
      </c>
      <c r="J100" s="118">
        <v>-47413.79</v>
      </c>
      <c r="K100" s="118">
        <v>0</v>
      </c>
      <c r="L100" s="118">
        <v>0</v>
      </c>
      <c r="M100" s="118">
        <v>0</v>
      </c>
      <c r="N100" s="118">
        <v>111115.84</v>
      </c>
      <c r="O100" s="119">
        <v>121984.01</v>
      </c>
      <c r="P100" s="119">
        <v>2272.75</v>
      </c>
      <c r="Q100" s="119">
        <v>0</v>
      </c>
      <c r="R100" s="119">
        <v>0</v>
      </c>
      <c r="S100" s="119">
        <v>0</v>
      </c>
      <c r="T100" s="116" t="s">
        <v>1298</v>
      </c>
      <c r="U100" s="116" t="s">
        <v>92</v>
      </c>
      <c r="V100" s="116" t="s">
        <v>1294</v>
      </c>
      <c r="W100" s="116">
        <v>20171231</v>
      </c>
      <c r="X100" s="116">
        <v>20181230</v>
      </c>
      <c r="Y100" s="116"/>
      <c r="Z100" s="116" t="s">
        <v>922</v>
      </c>
      <c r="AA100" s="116" t="s">
        <v>105</v>
      </c>
      <c r="AB100" s="116" t="s">
        <v>923</v>
      </c>
      <c r="AC100" s="116" t="s">
        <v>106</v>
      </c>
      <c r="AD100" s="116">
        <v>2016</v>
      </c>
      <c r="AE100" s="116" t="s">
        <v>96</v>
      </c>
      <c r="AF100" s="116" t="s">
        <v>954</v>
      </c>
      <c r="AG100" s="116" t="s">
        <v>974</v>
      </c>
      <c r="AH100" s="116"/>
      <c r="AI100" s="116" t="s">
        <v>162</v>
      </c>
      <c r="AJ100" s="116" t="s">
        <v>975</v>
      </c>
      <c r="AK100" s="116" t="s">
        <v>551</v>
      </c>
      <c r="AL100" s="116" t="s">
        <v>110</v>
      </c>
      <c r="AM100" s="116" t="s">
        <v>564</v>
      </c>
      <c r="AN100" s="116" t="s">
        <v>565</v>
      </c>
      <c r="AO100" s="120">
        <v>43229</v>
      </c>
      <c r="AP100" s="116" t="s">
        <v>111</v>
      </c>
      <c r="AQ100" s="116">
        <v>33</v>
      </c>
      <c r="AR100" s="125"/>
      <c r="AS100" s="122">
        <v>43221</v>
      </c>
      <c r="AT100" s="123"/>
      <c r="AU100" s="116"/>
      <c r="AV100" s="124"/>
      <c r="AW100" s="123"/>
      <c r="AX100" s="116"/>
    </row>
    <row r="101" spans="1:50" ht="15" hidden="1">
      <c r="A101" s="116" t="s">
        <v>1302</v>
      </c>
      <c r="B101" s="116" t="s">
        <v>90</v>
      </c>
      <c r="C101" s="116" t="s">
        <v>91</v>
      </c>
      <c r="D101" s="117">
        <v>0</v>
      </c>
      <c r="E101" s="118">
        <v>626.58000000000004</v>
      </c>
      <c r="F101" s="118">
        <v>0</v>
      </c>
      <c r="G101" s="118">
        <v>0</v>
      </c>
      <c r="H101" s="118">
        <v>0</v>
      </c>
      <c r="I101" s="118">
        <v>-2348.6999999999998</v>
      </c>
      <c r="J101" s="118">
        <v>0</v>
      </c>
      <c r="K101" s="118">
        <v>-15658</v>
      </c>
      <c r="L101" s="118">
        <v>0</v>
      </c>
      <c r="M101" s="118">
        <v>0</v>
      </c>
      <c r="N101" s="118">
        <v>-18006.7</v>
      </c>
      <c r="O101" s="119">
        <v>0</v>
      </c>
      <c r="P101" s="119">
        <v>0</v>
      </c>
      <c r="Q101" s="119">
        <v>0</v>
      </c>
      <c r="R101" s="119">
        <v>0</v>
      </c>
      <c r="S101" s="119">
        <v>0</v>
      </c>
      <c r="T101" s="116" t="s">
        <v>1303</v>
      </c>
      <c r="U101" s="116" t="s">
        <v>92</v>
      </c>
      <c r="V101" s="116" t="s">
        <v>188</v>
      </c>
      <c r="W101" s="116">
        <v>20171231</v>
      </c>
      <c r="X101" s="116">
        <v>20181230</v>
      </c>
      <c r="Y101" s="116"/>
      <c r="Z101" s="116" t="s">
        <v>922</v>
      </c>
      <c r="AA101" s="116" t="s">
        <v>105</v>
      </c>
      <c r="AB101" s="116" t="s">
        <v>923</v>
      </c>
      <c r="AC101" s="116" t="s">
        <v>106</v>
      </c>
      <c r="AD101" s="116">
        <v>2017</v>
      </c>
      <c r="AE101" s="116" t="s">
        <v>96</v>
      </c>
      <c r="AF101" s="116" t="s">
        <v>954</v>
      </c>
      <c r="AG101" s="116" t="s">
        <v>1632</v>
      </c>
      <c r="AH101" s="116"/>
      <c r="AI101" s="116" t="s">
        <v>119</v>
      </c>
      <c r="AJ101" s="116" t="s">
        <v>1633</v>
      </c>
      <c r="AK101" s="116" t="s">
        <v>106</v>
      </c>
      <c r="AL101" s="116" t="s">
        <v>129</v>
      </c>
      <c r="AM101" s="116" t="s">
        <v>798</v>
      </c>
      <c r="AN101" s="116" t="s">
        <v>799</v>
      </c>
      <c r="AO101" s="120">
        <v>43229</v>
      </c>
      <c r="AP101" s="116" t="s">
        <v>111</v>
      </c>
      <c r="AQ101" s="116">
        <v>33</v>
      </c>
      <c r="AR101" s="121" t="s">
        <v>554</v>
      </c>
      <c r="AS101" s="122">
        <v>43221</v>
      </c>
      <c r="AT101" s="123"/>
      <c r="AU101" s="116"/>
      <c r="AV101" s="124"/>
      <c r="AW101" s="123"/>
      <c r="AX101" s="116"/>
    </row>
    <row r="102" spans="1:50" ht="15" hidden="1">
      <c r="A102" s="116" t="s">
        <v>1307</v>
      </c>
      <c r="B102" s="116" t="s">
        <v>90</v>
      </c>
      <c r="C102" s="116" t="s">
        <v>91</v>
      </c>
      <c r="D102" s="117">
        <v>0</v>
      </c>
      <c r="E102" s="118">
        <v>2013.95</v>
      </c>
      <c r="F102" s="118">
        <v>0</v>
      </c>
      <c r="G102" s="118">
        <v>0</v>
      </c>
      <c r="H102" s="118">
        <v>15658</v>
      </c>
      <c r="I102" s="118">
        <v>2716.7</v>
      </c>
      <c r="J102" s="118">
        <v>0</v>
      </c>
      <c r="K102" s="118">
        <v>0</v>
      </c>
      <c r="L102" s="118">
        <v>0</v>
      </c>
      <c r="M102" s="118">
        <v>0</v>
      </c>
      <c r="N102" s="118">
        <v>18374.7</v>
      </c>
      <c r="O102" s="119">
        <v>0</v>
      </c>
      <c r="P102" s="119">
        <v>0</v>
      </c>
      <c r="Q102" s="119">
        <v>0</v>
      </c>
      <c r="R102" s="119">
        <v>15658</v>
      </c>
      <c r="S102" s="119">
        <v>0</v>
      </c>
      <c r="T102" s="116" t="s">
        <v>1308</v>
      </c>
      <c r="U102" s="116" t="s">
        <v>92</v>
      </c>
      <c r="V102" s="116" t="s">
        <v>189</v>
      </c>
      <c r="W102" s="116">
        <v>20171231</v>
      </c>
      <c r="X102" s="116">
        <v>20181230</v>
      </c>
      <c r="Y102" s="116"/>
      <c r="Z102" s="116" t="s">
        <v>922</v>
      </c>
      <c r="AA102" s="116" t="s">
        <v>105</v>
      </c>
      <c r="AB102" s="116" t="s">
        <v>1732</v>
      </c>
      <c r="AC102" s="116" t="s">
        <v>106</v>
      </c>
      <c r="AD102" s="116">
        <v>2013</v>
      </c>
      <c r="AE102" s="116" t="s">
        <v>381</v>
      </c>
      <c r="AF102" s="116" t="s">
        <v>1733</v>
      </c>
      <c r="AG102" s="116" t="s">
        <v>1746</v>
      </c>
      <c r="AH102" s="116"/>
      <c r="AI102" s="116" t="s">
        <v>119</v>
      </c>
      <c r="AJ102" s="116" t="s">
        <v>1747</v>
      </c>
      <c r="AK102" s="116" t="s">
        <v>106</v>
      </c>
      <c r="AL102" s="116" t="s">
        <v>129</v>
      </c>
      <c r="AM102" s="116" t="s">
        <v>383</v>
      </c>
      <c r="AN102" s="116" t="s">
        <v>839</v>
      </c>
      <c r="AO102" s="120">
        <v>43230</v>
      </c>
      <c r="AP102" s="116" t="s">
        <v>111</v>
      </c>
      <c r="AQ102" s="116">
        <v>33</v>
      </c>
      <c r="AR102" s="123"/>
      <c r="AS102" s="122">
        <v>43221</v>
      </c>
      <c r="AT102" s="123"/>
      <c r="AU102" s="116"/>
      <c r="AV102" s="124"/>
      <c r="AW102" s="123"/>
      <c r="AX102" s="116"/>
    </row>
    <row r="103" spans="1:50" ht="15" hidden="1">
      <c r="A103" s="116" t="s">
        <v>1307</v>
      </c>
      <c r="B103" s="116" t="s">
        <v>90</v>
      </c>
      <c r="C103" s="116" t="s">
        <v>91</v>
      </c>
      <c r="D103" s="117">
        <v>0</v>
      </c>
      <c r="E103" s="118">
        <v>1299.32</v>
      </c>
      <c r="F103" s="118">
        <v>0</v>
      </c>
      <c r="G103" s="118">
        <v>0</v>
      </c>
      <c r="H103" s="118">
        <v>8363.01</v>
      </c>
      <c r="I103" s="118">
        <v>684.45</v>
      </c>
      <c r="J103" s="118">
        <v>0</v>
      </c>
      <c r="K103" s="118">
        <v>-3800</v>
      </c>
      <c r="L103" s="118">
        <v>0</v>
      </c>
      <c r="M103" s="118">
        <v>0</v>
      </c>
      <c r="N103" s="118">
        <v>5247.46</v>
      </c>
      <c r="O103" s="119">
        <v>8363.01</v>
      </c>
      <c r="P103" s="119">
        <v>0</v>
      </c>
      <c r="Q103" s="119">
        <v>0</v>
      </c>
      <c r="R103" s="119">
        <v>0</v>
      </c>
      <c r="S103" s="119">
        <v>0</v>
      </c>
      <c r="T103" s="116" t="s">
        <v>1311</v>
      </c>
      <c r="U103" s="116" t="s">
        <v>92</v>
      </c>
      <c r="V103" s="116" t="s">
        <v>189</v>
      </c>
      <c r="W103" s="116">
        <v>20171231</v>
      </c>
      <c r="X103" s="116">
        <v>20181230</v>
      </c>
      <c r="Y103" s="116"/>
      <c r="Z103" s="116" t="s">
        <v>922</v>
      </c>
      <c r="AA103" s="116" t="s">
        <v>105</v>
      </c>
      <c r="AB103" s="116" t="s">
        <v>923</v>
      </c>
      <c r="AC103" s="116" t="s">
        <v>134</v>
      </c>
      <c r="AD103" s="116">
        <v>2016</v>
      </c>
      <c r="AE103" s="116" t="s">
        <v>96</v>
      </c>
      <c r="AF103" s="116" t="s">
        <v>954</v>
      </c>
      <c r="AG103" s="116" t="s">
        <v>1045</v>
      </c>
      <c r="AH103" s="116"/>
      <c r="AI103" s="116" t="s">
        <v>119</v>
      </c>
      <c r="AJ103" s="116" t="s">
        <v>1046</v>
      </c>
      <c r="AK103" s="116" t="s">
        <v>134</v>
      </c>
      <c r="AL103" s="116" t="s">
        <v>129</v>
      </c>
      <c r="AM103" s="116" t="s">
        <v>587</v>
      </c>
      <c r="AN103" s="116" t="s">
        <v>588</v>
      </c>
      <c r="AO103" s="120">
        <v>43235</v>
      </c>
      <c r="AP103" s="116" t="s">
        <v>111</v>
      </c>
      <c r="AQ103" s="116">
        <v>33</v>
      </c>
      <c r="AR103" s="125"/>
      <c r="AS103" s="122">
        <v>43221</v>
      </c>
      <c r="AT103" s="123"/>
      <c r="AU103" s="116"/>
      <c r="AV103" s="124"/>
      <c r="AW103" s="123"/>
      <c r="AX103" s="116"/>
    </row>
    <row r="104" spans="1:50" ht="15" hidden="1">
      <c r="A104" s="116" t="s">
        <v>1315</v>
      </c>
      <c r="B104" s="116" t="s">
        <v>90</v>
      </c>
      <c r="C104" s="116" t="s">
        <v>91</v>
      </c>
      <c r="D104" s="117">
        <v>0</v>
      </c>
      <c r="E104" s="118">
        <v>901.61</v>
      </c>
      <c r="F104" s="118">
        <v>5562.47</v>
      </c>
      <c r="G104" s="118">
        <v>5562.47</v>
      </c>
      <c r="H104" s="118">
        <v>15658</v>
      </c>
      <c r="I104" s="118">
        <v>2348.6999999999998</v>
      </c>
      <c r="J104" s="118">
        <v>0</v>
      </c>
      <c r="K104" s="118">
        <v>0</v>
      </c>
      <c r="L104" s="118">
        <v>0</v>
      </c>
      <c r="M104" s="118">
        <v>0</v>
      </c>
      <c r="N104" s="118">
        <v>18006.7</v>
      </c>
      <c r="O104" s="119">
        <v>0</v>
      </c>
      <c r="P104" s="119">
        <v>0</v>
      </c>
      <c r="Q104" s="119">
        <v>0</v>
      </c>
      <c r="R104" s="119">
        <v>15658</v>
      </c>
      <c r="S104" s="119">
        <v>0</v>
      </c>
      <c r="T104" s="116" t="s">
        <v>1316</v>
      </c>
      <c r="U104" s="116" t="s">
        <v>92</v>
      </c>
      <c r="V104" s="116" t="s">
        <v>190</v>
      </c>
      <c r="W104" s="116">
        <v>20171231</v>
      </c>
      <c r="X104" s="116">
        <v>20181230</v>
      </c>
      <c r="Y104" s="116"/>
      <c r="Z104" s="116" t="s">
        <v>922</v>
      </c>
      <c r="AA104" s="116" t="s">
        <v>105</v>
      </c>
      <c r="AB104" s="116" t="s">
        <v>923</v>
      </c>
      <c r="AC104" s="116" t="s">
        <v>114</v>
      </c>
      <c r="AD104" s="116">
        <v>2017</v>
      </c>
      <c r="AE104" s="116" t="s">
        <v>96</v>
      </c>
      <c r="AF104" s="116" t="s">
        <v>954</v>
      </c>
      <c r="AG104" s="116" t="s">
        <v>1448</v>
      </c>
      <c r="AH104" s="116"/>
      <c r="AI104" s="116" t="s">
        <v>162</v>
      </c>
      <c r="AJ104" s="116" t="s">
        <v>1449</v>
      </c>
      <c r="AK104" s="116" t="s">
        <v>551</v>
      </c>
      <c r="AL104" s="116" t="s">
        <v>129</v>
      </c>
      <c r="AM104" s="116" t="s">
        <v>742</v>
      </c>
      <c r="AN104" s="116" t="s">
        <v>743</v>
      </c>
      <c r="AO104" s="120">
        <v>43236</v>
      </c>
      <c r="AP104" s="116" t="s">
        <v>111</v>
      </c>
      <c r="AQ104" s="116">
        <v>33</v>
      </c>
      <c r="AR104" s="121" t="s">
        <v>545</v>
      </c>
      <c r="AS104" s="122">
        <v>43221</v>
      </c>
      <c r="AT104" s="123"/>
      <c r="AU104" s="116"/>
      <c r="AV104" s="124"/>
      <c r="AW104" s="123"/>
      <c r="AX104" s="116"/>
    </row>
    <row r="105" spans="1:50" ht="15" hidden="1">
      <c r="A105" s="116" t="s">
        <v>1315</v>
      </c>
      <c r="B105" s="116" t="s">
        <v>90</v>
      </c>
      <c r="C105" s="116" t="s">
        <v>91</v>
      </c>
      <c r="D105" s="117">
        <v>0</v>
      </c>
      <c r="E105" s="118">
        <v>1405.9</v>
      </c>
      <c r="F105" s="118">
        <v>0</v>
      </c>
      <c r="G105" s="118">
        <v>0</v>
      </c>
      <c r="H105" s="118">
        <v>5928</v>
      </c>
      <c r="I105" s="118">
        <v>-1459.5</v>
      </c>
      <c r="J105" s="118">
        <v>0</v>
      </c>
      <c r="K105" s="118">
        <v>-15658</v>
      </c>
      <c r="L105" s="118">
        <v>0</v>
      </c>
      <c r="M105" s="118">
        <v>0</v>
      </c>
      <c r="N105" s="118">
        <v>-11189.5</v>
      </c>
      <c r="O105" s="119">
        <v>5928</v>
      </c>
      <c r="P105" s="119">
        <v>0</v>
      </c>
      <c r="Q105" s="119">
        <v>0</v>
      </c>
      <c r="R105" s="119">
        <v>0</v>
      </c>
      <c r="S105" s="119">
        <v>0</v>
      </c>
      <c r="T105" s="116" t="s">
        <v>1319</v>
      </c>
      <c r="U105" s="116" t="s">
        <v>92</v>
      </c>
      <c r="V105" s="116" t="s">
        <v>190</v>
      </c>
      <c r="W105" s="116">
        <v>20171231</v>
      </c>
      <c r="X105" s="116">
        <v>20181230</v>
      </c>
      <c r="Y105" s="116"/>
      <c r="Z105" s="116" t="s">
        <v>922</v>
      </c>
      <c r="AA105" s="116" t="s">
        <v>105</v>
      </c>
      <c r="AB105" s="116" t="s">
        <v>923</v>
      </c>
      <c r="AC105" s="116" t="s">
        <v>135</v>
      </c>
      <c r="AD105" s="116">
        <v>2017</v>
      </c>
      <c r="AE105" s="116" t="s">
        <v>96</v>
      </c>
      <c r="AF105" s="116" t="s">
        <v>954</v>
      </c>
      <c r="AG105" s="116" t="s">
        <v>1470</v>
      </c>
      <c r="AH105" s="116"/>
      <c r="AI105" s="116" t="s">
        <v>162</v>
      </c>
      <c r="AJ105" s="116" t="s">
        <v>1471</v>
      </c>
      <c r="AK105" s="116" t="s">
        <v>135</v>
      </c>
      <c r="AL105" s="116" t="s">
        <v>129</v>
      </c>
      <c r="AM105" s="116" t="s">
        <v>461</v>
      </c>
      <c r="AN105" s="116" t="s">
        <v>749</v>
      </c>
      <c r="AO105" s="120">
        <v>43236</v>
      </c>
      <c r="AP105" s="116" t="s">
        <v>111</v>
      </c>
      <c r="AQ105" s="116">
        <v>33</v>
      </c>
      <c r="AR105" s="121" t="s">
        <v>545</v>
      </c>
      <c r="AS105" s="122">
        <v>43221</v>
      </c>
      <c r="AT105" s="123"/>
      <c r="AU105" s="116"/>
      <c r="AV105" s="124"/>
      <c r="AW105" s="123"/>
      <c r="AX105" s="116"/>
    </row>
    <row r="106" spans="1:50" ht="15" hidden="1">
      <c r="A106" s="116" t="s">
        <v>1322</v>
      </c>
      <c r="B106" s="116" t="s">
        <v>90</v>
      </c>
      <c r="C106" s="116" t="s">
        <v>91</v>
      </c>
      <c r="D106" s="117">
        <v>0</v>
      </c>
      <c r="E106" s="118">
        <v>1250.24</v>
      </c>
      <c r="F106" s="118">
        <v>0</v>
      </c>
      <c r="G106" s="118">
        <v>0</v>
      </c>
      <c r="H106" s="118">
        <v>1941.07</v>
      </c>
      <c r="I106" s="118">
        <v>-2057.54</v>
      </c>
      <c r="J106" s="118">
        <v>0</v>
      </c>
      <c r="K106" s="118">
        <v>-15658</v>
      </c>
      <c r="L106" s="118">
        <v>0</v>
      </c>
      <c r="M106" s="118">
        <v>0</v>
      </c>
      <c r="N106" s="118">
        <v>-15774.47</v>
      </c>
      <c r="O106" s="119">
        <v>1941.07</v>
      </c>
      <c r="P106" s="119">
        <v>0</v>
      </c>
      <c r="Q106" s="119">
        <v>0</v>
      </c>
      <c r="R106" s="119">
        <v>0</v>
      </c>
      <c r="S106" s="119">
        <v>0</v>
      </c>
      <c r="T106" s="116" t="s">
        <v>1298</v>
      </c>
      <c r="U106" s="116" t="s">
        <v>92</v>
      </c>
      <c r="V106" s="116" t="s">
        <v>193</v>
      </c>
      <c r="W106" s="116">
        <v>20171231</v>
      </c>
      <c r="X106" s="116">
        <v>20181230</v>
      </c>
      <c r="Y106" s="116"/>
      <c r="Z106" s="116" t="s">
        <v>922</v>
      </c>
      <c r="AA106" s="116" t="s">
        <v>105</v>
      </c>
      <c r="AB106" s="116" t="s">
        <v>923</v>
      </c>
      <c r="AC106" s="116" t="s">
        <v>98</v>
      </c>
      <c r="AD106" s="116">
        <v>2017</v>
      </c>
      <c r="AE106" s="116" t="s">
        <v>96</v>
      </c>
      <c r="AF106" s="116" t="s">
        <v>954</v>
      </c>
      <c r="AG106" s="116" t="s">
        <v>1384</v>
      </c>
      <c r="AH106" s="116"/>
      <c r="AI106" s="116" t="s">
        <v>119</v>
      </c>
      <c r="AJ106" s="116" t="s">
        <v>1385</v>
      </c>
      <c r="AK106" s="116" t="s">
        <v>98</v>
      </c>
      <c r="AL106" s="116" t="s">
        <v>129</v>
      </c>
      <c r="AM106" s="116" t="s">
        <v>721</v>
      </c>
      <c r="AN106" s="116" t="s">
        <v>722</v>
      </c>
      <c r="AO106" s="120">
        <v>43237</v>
      </c>
      <c r="AP106" s="116" t="s">
        <v>111</v>
      </c>
      <c r="AQ106" s="116">
        <v>33</v>
      </c>
      <c r="AR106" s="121" t="s">
        <v>545</v>
      </c>
      <c r="AS106" s="122">
        <v>43221</v>
      </c>
      <c r="AT106" s="123"/>
      <c r="AU106" s="116"/>
      <c r="AV106" s="124"/>
      <c r="AW106" s="123"/>
      <c r="AX106" s="116"/>
    </row>
    <row r="107" spans="1:50" ht="15" hidden="1">
      <c r="A107" s="116" t="s">
        <v>1322</v>
      </c>
      <c r="B107" s="116" t="s">
        <v>90</v>
      </c>
      <c r="C107" s="116" t="s">
        <v>91</v>
      </c>
      <c r="D107" s="117">
        <v>0</v>
      </c>
      <c r="E107" s="118">
        <v>604.95000000000005</v>
      </c>
      <c r="F107" s="118">
        <v>0</v>
      </c>
      <c r="G107" s="118">
        <v>0</v>
      </c>
      <c r="H107" s="118">
        <v>15658</v>
      </c>
      <c r="I107" s="118">
        <v>2348.6999999999998</v>
      </c>
      <c r="J107" s="118">
        <v>0</v>
      </c>
      <c r="K107" s="118">
        <v>0</v>
      </c>
      <c r="L107" s="118">
        <v>0</v>
      </c>
      <c r="M107" s="118">
        <v>0</v>
      </c>
      <c r="N107" s="118">
        <v>18006.7</v>
      </c>
      <c r="O107" s="119">
        <v>0</v>
      </c>
      <c r="P107" s="119">
        <v>0</v>
      </c>
      <c r="Q107" s="119">
        <v>0</v>
      </c>
      <c r="R107" s="119">
        <v>15658</v>
      </c>
      <c r="S107" s="119">
        <v>0</v>
      </c>
      <c r="T107" s="116" t="s">
        <v>1326</v>
      </c>
      <c r="U107" s="116" t="s">
        <v>92</v>
      </c>
      <c r="V107" s="116" t="s">
        <v>193</v>
      </c>
      <c r="W107" s="116">
        <v>20171231</v>
      </c>
      <c r="X107" s="116">
        <v>20181230</v>
      </c>
      <c r="Y107" s="116"/>
      <c r="Z107" s="116" t="s">
        <v>922</v>
      </c>
      <c r="AA107" s="116" t="s">
        <v>105</v>
      </c>
      <c r="AB107" s="116" t="s">
        <v>923</v>
      </c>
      <c r="AC107" s="116" t="s">
        <v>112</v>
      </c>
      <c r="AD107" s="116">
        <v>2016</v>
      </c>
      <c r="AE107" s="116" t="s">
        <v>96</v>
      </c>
      <c r="AF107" s="116" t="s">
        <v>954</v>
      </c>
      <c r="AG107" s="116" t="s">
        <v>1105</v>
      </c>
      <c r="AH107" s="116" t="s">
        <v>1106</v>
      </c>
      <c r="AI107" s="116" t="s">
        <v>119</v>
      </c>
      <c r="AJ107" s="116" t="s">
        <v>1107</v>
      </c>
      <c r="AK107" s="116" t="s">
        <v>112</v>
      </c>
      <c r="AL107" s="116" t="s">
        <v>129</v>
      </c>
      <c r="AM107" s="116" t="s">
        <v>609</v>
      </c>
      <c r="AN107" s="116" t="s">
        <v>610</v>
      </c>
      <c r="AO107" s="120">
        <v>43238</v>
      </c>
      <c r="AP107" s="116" t="s">
        <v>111</v>
      </c>
      <c r="AQ107" s="116">
        <v>33</v>
      </c>
      <c r="AR107" s="121" t="s">
        <v>545</v>
      </c>
      <c r="AS107" s="122">
        <v>43221</v>
      </c>
      <c r="AT107" s="123"/>
      <c r="AU107" s="116"/>
      <c r="AV107" s="124"/>
      <c r="AW107" s="123"/>
      <c r="AX107" s="116" t="s">
        <v>1106</v>
      </c>
    </row>
    <row r="108" spans="1:50" ht="15" hidden="1">
      <c r="A108" s="116" t="s">
        <v>1329</v>
      </c>
      <c r="B108" s="116" t="s">
        <v>90</v>
      </c>
      <c r="C108" s="116" t="s">
        <v>91</v>
      </c>
      <c r="D108" s="117">
        <v>0</v>
      </c>
      <c r="E108" s="118">
        <v>855.74</v>
      </c>
      <c r="F108" s="118">
        <v>0</v>
      </c>
      <c r="G108" s="118">
        <v>0</v>
      </c>
      <c r="H108" s="118">
        <v>9410.17</v>
      </c>
      <c r="I108" s="118">
        <v>-988.47</v>
      </c>
      <c r="J108" s="118">
        <v>0</v>
      </c>
      <c r="K108" s="118">
        <v>-16000</v>
      </c>
      <c r="L108" s="118">
        <v>0</v>
      </c>
      <c r="M108" s="118">
        <v>0</v>
      </c>
      <c r="N108" s="118">
        <v>-7578.3</v>
      </c>
      <c r="O108" s="119">
        <v>9410.17</v>
      </c>
      <c r="P108" s="119">
        <v>0</v>
      </c>
      <c r="Q108" s="119">
        <v>0</v>
      </c>
      <c r="R108" s="119">
        <v>0</v>
      </c>
      <c r="S108" s="119">
        <v>0</v>
      </c>
      <c r="T108" s="116" t="s">
        <v>1330</v>
      </c>
      <c r="U108" s="116" t="s">
        <v>92</v>
      </c>
      <c r="V108" s="116" t="s">
        <v>194</v>
      </c>
      <c r="W108" s="116">
        <v>20171231</v>
      </c>
      <c r="X108" s="116">
        <v>20181230</v>
      </c>
      <c r="Y108" s="116"/>
      <c r="Z108" s="116" t="s">
        <v>922</v>
      </c>
      <c r="AA108" s="116" t="s">
        <v>105</v>
      </c>
      <c r="AB108" s="116" t="s">
        <v>923</v>
      </c>
      <c r="AC108" s="116" t="s">
        <v>142</v>
      </c>
      <c r="AD108" s="116">
        <v>2017</v>
      </c>
      <c r="AE108" s="116" t="s">
        <v>96</v>
      </c>
      <c r="AF108" s="116" t="s">
        <v>954</v>
      </c>
      <c r="AG108" s="116" t="s">
        <v>1560</v>
      </c>
      <c r="AH108" s="116" t="s">
        <v>1561</v>
      </c>
      <c r="AI108" s="116" t="s">
        <v>119</v>
      </c>
      <c r="AJ108" s="116" t="s">
        <v>1562</v>
      </c>
      <c r="AK108" s="116" t="s">
        <v>142</v>
      </c>
      <c r="AL108" s="116" t="s">
        <v>129</v>
      </c>
      <c r="AM108" s="116" t="s">
        <v>773</v>
      </c>
      <c r="AN108" s="116" t="s">
        <v>774</v>
      </c>
      <c r="AO108" s="120">
        <v>43243</v>
      </c>
      <c r="AP108" s="116" t="s">
        <v>111</v>
      </c>
      <c r="AQ108" s="116">
        <v>33</v>
      </c>
      <c r="AR108" s="121" t="s">
        <v>545</v>
      </c>
      <c r="AS108" s="122">
        <v>43221</v>
      </c>
      <c r="AT108" s="123"/>
      <c r="AU108" s="116"/>
      <c r="AV108" s="124"/>
      <c r="AW108" s="123"/>
      <c r="AX108" s="116" t="s">
        <v>1561</v>
      </c>
    </row>
    <row r="109" spans="1:50" ht="15" hidden="1">
      <c r="A109" s="116" t="s">
        <v>1334</v>
      </c>
      <c r="B109" s="116" t="s">
        <v>90</v>
      </c>
      <c r="C109" s="116" t="s">
        <v>91</v>
      </c>
      <c r="D109" s="117">
        <v>0</v>
      </c>
      <c r="E109" s="118">
        <v>1741.62</v>
      </c>
      <c r="F109" s="118">
        <v>0</v>
      </c>
      <c r="G109" s="118">
        <v>0</v>
      </c>
      <c r="H109" s="118">
        <v>54118.78</v>
      </c>
      <c r="I109" s="118">
        <v>8117.82</v>
      </c>
      <c r="J109" s="118">
        <v>0</v>
      </c>
      <c r="K109" s="118">
        <v>0</v>
      </c>
      <c r="L109" s="118">
        <v>0</v>
      </c>
      <c r="M109" s="118">
        <v>0</v>
      </c>
      <c r="N109" s="118">
        <v>62236.6</v>
      </c>
      <c r="O109" s="119">
        <v>54118.78</v>
      </c>
      <c r="P109" s="119">
        <v>0</v>
      </c>
      <c r="Q109" s="119">
        <v>0</v>
      </c>
      <c r="R109" s="119">
        <v>0</v>
      </c>
      <c r="S109" s="119">
        <v>0</v>
      </c>
      <c r="T109" s="116" t="s">
        <v>1290</v>
      </c>
      <c r="U109" s="116" t="s">
        <v>92</v>
      </c>
      <c r="V109" s="116" t="s">
        <v>195</v>
      </c>
      <c r="W109" s="116">
        <v>20171231</v>
      </c>
      <c r="X109" s="116">
        <v>20181230</v>
      </c>
      <c r="Y109" s="116"/>
      <c r="Z109" s="116" t="s">
        <v>922</v>
      </c>
      <c r="AA109" s="116" t="s">
        <v>105</v>
      </c>
      <c r="AB109" s="116" t="s">
        <v>923</v>
      </c>
      <c r="AC109" s="116" t="s">
        <v>106</v>
      </c>
      <c r="AD109" s="116">
        <v>2018</v>
      </c>
      <c r="AE109" s="116" t="s">
        <v>96</v>
      </c>
      <c r="AF109" s="116" t="s">
        <v>289</v>
      </c>
      <c r="AG109" s="116" t="s">
        <v>1824</v>
      </c>
      <c r="AH109" s="116"/>
      <c r="AI109" s="116" t="s">
        <v>162</v>
      </c>
      <c r="AJ109" s="116" t="s">
        <v>1825</v>
      </c>
      <c r="AK109" s="116" t="s">
        <v>114</v>
      </c>
      <c r="AL109" s="116" t="s">
        <v>129</v>
      </c>
      <c r="AM109" s="116" t="s">
        <v>865</v>
      </c>
      <c r="AN109" s="116" t="s">
        <v>866</v>
      </c>
      <c r="AO109" s="120">
        <v>43243</v>
      </c>
      <c r="AP109" s="116" t="s">
        <v>111</v>
      </c>
      <c r="AQ109" s="116">
        <v>33</v>
      </c>
      <c r="AR109" s="125"/>
      <c r="AS109" s="122">
        <v>43221</v>
      </c>
      <c r="AT109" s="123"/>
      <c r="AU109" s="116"/>
      <c r="AV109" s="124"/>
      <c r="AW109" s="123"/>
      <c r="AX109" s="116"/>
    </row>
    <row r="110" spans="1:50" ht="15" hidden="1">
      <c r="A110" s="116" t="s">
        <v>1334</v>
      </c>
      <c r="B110" s="116" t="s">
        <v>90</v>
      </c>
      <c r="C110" s="116" t="s">
        <v>91</v>
      </c>
      <c r="D110" s="117">
        <v>0</v>
      </c>
      <c r="E110" s="118">
        <v>863.73</v>
      </c>
      <c r="F110" s="118">
        <v>0</v>
      </c>
      <c r="G110" s="118">
        <v>0</v>
      </c>
      <c r="H110" s="118">
        <v>0</v>
      </c>
      <c r="I110" s="118">
        <v>1367.51</v>
      </c>
      <c r="J110" s="118">
        <v>0</v>
      </c>
      <c r="K110" s="118">
        <v>-15658</v>
      </c>
      <c r="L110" s="118">
        <v>0</v>
      </c>
      <c r="M110" s="118">
        <v>24774.73</v>
      </c>
      <c r="N110" s="118">
        <v>10484.24</v>
      </c>
      <c r="O110" s="119">
        <v>0</v>
      </c>
      <c r="P110" s="119">
        <v>0</v>
      </c>
      <c r="Q110" s="119">
        <v>0</v>
      </c>
      <c r="R110" s="119">
        <v>0</v>
      </c>
      <c r="S110" s="119">
        <v>0</v>
      </c>
      <c r="T110" s="116" t="s">
        <v>1138</v>
      </c>
      <c r="U110" s="116" t="s">
        <v>92</v>
      </c>
      <c r="V110" s="116" t="s">
        <v>195</v>
      </c>
      <c r="W110" s="116">
        <v>20171231</v>
      </c>
      <c r="X110" s="116">
        <v>20181230</v>
      </c>
      <c r="Y110" s="116"/>
      <c r="Z110" s="116" t="s">
        <v>922</v>
      </c>
      <c r="AA110" s="116" t="s">
        <v>105</v>
      </c>
      <c r="AB110" s="116" t="s">
        <v>1210</v>
      </c>
      <c r="AC110" s="116" t="s">
        <v>106</v>
      </c>
      <c r="AD110" s="116">
        <v>2016</v>
      </c>
      <c r="AE110" s="116" t="s">
        <v>96</v>
      </c>
      <c r="AF110" s="116" t="s">
        <v>1211</v>
      </c>
      <c r="AG110" s="116" t="s">
        <v>1222</v>
      </c>
      <c r="AH110" s="116" t="s">
        <v>1223</v>
      </c>
      <c r="AI110" s="116" t="s">
        <v>162</v>
      </c>
      <c r="AJ110" s="116" t="s">
        <v>1224</v>
      </c>
      <c r="AK110" s="116" t="s">
        <v>551</v>
      </c>
      <c r="AL110" s="116" t="s">
        <v>129</v>
      </c>
      <c r="AM110" s="116" t="s">
        <v>652</v>
      </c>
      <c r="AN110" s="116" t="s">
        <v>653</v>
      </c>
      <c r="AO110" s="120">
        <v>43245</v>
      </c>
      <c r="AP110" s="116" t="s">
        <v>111</v>
      </c>
      <c r="AQ110" s="116">
        <v>33</v>
      </c>
      <c r="AR110" s="121" t="s">
        <v>554</v>
      </c>
      <c r="AS110" s="122">
        <v>43221</v>
      </c>
      <c r="AT110" s="123"/>
      <c r="AU110" s="116"/>
      <c r="AV110" s="124"/>
      <c r="AW110" s="123"/>
      <c r="AX110" s="116" t="s">
        <v>1223</v>
      </c>
    </row>
    <row r="111" spans="1:50" ht="15" hidden="1">
      <c r="A111" s="116" t="s">
        <v>1339</v>
      </c>
      <c r="B111" s="116" t="s">
        <v>90</v>
      </c>
      <c r="C111" s="116" t="s">
        <v>91</v>
      </c>
      <c r="D111" s="117">
        <v>0</v>
      </c>
      <c r="E111" s="118">
        <v>424.78</v>
      </c>
      <c r="F111" s="118">
        <v>0</v>
      </c>
      <c r="G111" s="118">
        <v>0</v>
      </c>
      <c r="H111" s="118">
        <v>0</v>
      </c>
      <c r="I111" s="118">
        <v>-1788.45</v>
      </c>
      <c r="J111" s="118">
        <v>0</v>
      </c>
      <c r="K111" s="118">
        <v>-15658</v>
      </c>
      <c r="L111" s="118">
        <v>0</v>
      </c>
      <c r="M111" s="118">
        <v>3735</v>
      </c>
      <c r="N111" s="118">
        <v>-13711.45</v>
      </c>
      <c r="O111" s="119">
        <v>0</v>
      </c>
      <c r="P111" s="119">
        <v>0</v>
      </c>
      <c r="Q111" s="119">
        <v>0</v>
      </c>
      <c r="R111" s="119">
        <v>0</v>
      </c>
      <c r="S111" s="119">
        <v>0</v>
      </c>
      <c r="T111" s="116" t="s">
        <v>1340</v>
      </c>
      <c r="U111" s="116" t="s">
        <v>92</v>
      </c>
      <c r="V111" s="116" t="s">
        <v>196</v>
      </c>
      <c r="W111" s="116">
        <v>20171231</v>
      </c>
      <c r="X111" s="116">
        <v>20181230</v>
      </c>
      <c r="Y111" s="116"/>
      <c r="Z111" s="116" t="s">
        <v>922</v>
      </c>
      <c r="AA111" s="116" t="s">
        <v>105</v>
      </c>
      <c r="AB111" s="116" t="s">
        <v>1732</v>
      </c>
      <c r="AC111" s="116" t="s">
        <v>106</v>
      </c>
      <c r="AD111" s="116">
        <v>2013</v>
      </c>
      <c r="AE111" s="116" t="s">
        <v>381</v>
      </c>
      <c r="AF111" s="116" t="s">
        <v>1733</v>
      </c>
      <c r="AG111" s="116" t="s">
        <v>1734</v>
      </c>
      <c r="AH111" s="116"/>
      <c r="AI111" s="116" t="s">
        <v>162</v>
      </c>
      <c r="AJ111" s="116" t="s">
        <v>1735</v>
      </c>
      <c r="AK111" s="116" t="s">
        <v>106</v>
      </c>
      <c r="AL111" s="116" t="s">
        <v>129</v>
      </c>
      <c r="AM111" s="116" t="s">
        <v>834</v>
      </c>
      <c r="AN111" s="116" t="s">
        <v>835</v>
      </c>
      <c r="AO111" s="120">
        <v>43246</v>
      </c>
      <c r="AP111" s="116" t="s">
        <v>111</v>
      </c>
      <c r="AQ111" s="116">
        <v>33</v>
      </c>
      <c r="AR111" s="125"/>
      <c r="AS111" s="122">
        <v>43221</v>
      </c>
      <c r="AT111" s="123"/>
      <c r="AU111" s="116"/>
      <c r="AV111" s="124"/>
      <c r="AW111" s="123"/>
      <c r="AX111" s="116"/>
    </row>
    <row r="112" spans="1:50" ht="15" hidden="1">
      <c r="A112" s="116" t="s">
        <v>1339</v>
      </c>
      <c r="B112" s="116" t="s">
        <v>90</v>
      </c>
      <c r="C112" s="116" t="s">
        <v>91</v>
      </c>
      <c r="D112" s="117">
        <v>0</v>
      </c>
      <c r="E112" s="118">
        <v>424.78</v>
      </c>
      <c r="F112" s="118">
        <v>0</v>
      </c>
      <c r="G112" s="118">
        <v>0</v>
      </c>
      <c r="H112" s="118">
        <v>2500</v>
      </c>
      <c r="I112" s="118">
        <v>3375</v>
      </c>
      <c r="J112" s="118">
        <v>0</v>
      </c>
      <c r="K112" s="118">
        <v>0</v>
      </c>
      <c r="L112" s="118">
        <v>0</v>
      </c>
      <c r="M112" s="118">
        <v>20000</v>
      </c>
      <c r="N112" s="118">
        <v>25875</v>
      </c>
      <c r="O112" s="119">
        <v>0</v>
      </c>
      <c r="P112" s="119">
        <v>0</v>
      </c>
      <c r="Q112" s="119">
        <v>0</v>
      </c>
      <c r="R112" s="119">
        <v>2500</v>
      </c>
      <c r="S112" s="119">
        <v>0</v>
      </c>
      <c r="T112" s="116" t="s">
        <v>1343</v>
      </c>
      <c r="U112" s="116" t="s">
        <v>92</v>
      </c>
      <c r="V112" s="116" t="s">
        <v>196</v>
      </c>
      <c r="W112" s="116">
        <v>20171231</v>
      </c>
      <c r="X112" s="116">
        <v>20181230</v>
      </c>
      <c r="Y112" s="116"/>
      <c r="Z112" s="116" t="s">
        <v>922</v>
      </c>
      <c r="AA112" s="116" t="s">
        <v>105</v>
      </c>
      <c r="AB112" s="116" t="s">
        <v>923</v>
      </c>
      <c r="AC112" s="116" t="s">
        <v>95</v>
      </c>
      <c r="AD112" s="116">
        <v>2017</v>
      </c>
      <c r="AE112" s="116" t="s">
        <v>96</v>
      </c>
      <c r="AF112" s="116" t="s">
        <v>954</v>
      </c>
      <c r="AG112" s="116" t="s">
        <v>1405</v>
      </c>
      <c r="AH112" s="116" t="s">
        <v>1406</v>
      </c>
      <c r="AI112" s="116" t="s">
        <v>119</v>
      </c>
      <c r="AJ112" s="116" t="s">
        <v>1407</v>
      </c>
      <c r="AK112" s="116" t="s">
        <v>551</v>
      </c>
      <c r="AL112" s="116" t="s">
        <v>129</v>
      </c>
      <c r="AM112" s="116" t="s">
        <v>729</v>
      </c>
      <c r="AN112" s="116" t="s">
        <v>730</v>
      </c>
      <c r="AO112" s="120">
        <v>43247</v>
      </c>
      <c r="AP112" s="116" t="s">
        <v>111</v>
      </c>
      <c r="AQ112" s="116">
        <v>33</v>
      </c>
      <c r="AR112" s="121" t="s">
        <v>545</v>
      </c>
      <c r="AS112" s="122">
        <v>43221</v>
      </c>
      <c r="AT112" s="123"/>
      <c r="AU112" s="116"/>
      <c r="AV112" s="124"/>
      <c r="AW112" s="123"/>
      <c r="AX112" s="116" t="s">
        <v>1406</v>
      </c>
    </row>
    <row r="113" spans="1:50" ht="15" hidden="1">
      <c r="A113" s="116" t="s">
        <v>1346</v>
      </c>
      <c r="B113" s="116" t="s">
        <v>90</v>
      </c>
      <c r="C113" s="116" t="s">
        <v>91</v>
      </c>
      <c r="D113" s="117">
        <v>0</v>
      </c>
      <c r="E113" s="118">
        <v>863.73</v>
      </c>
      <c r="F113" s="118">
        <v>0</v>
      </c>
      <c r="G113" s="118">
        <v>0</v>
      </c>
      <c r="H113" s="118">
        <v>6031.31</v>
      </c>
      <c r="I113" s="118">
        <v>904.7</v>
      </c>
      <c r="J113" s="118">
        <v>0</v>
      </c>
      <c r="K113" s="118">
        <v>0</v>
      </c>
      <c r="L113" s="118">
        <v>0</v>
      </c>
      <c r="M113" s="118">
        <v>0</v>
      </c>
      <c r="N113" s="118">
        <v>6936.01</v>
      </c>
      <c r="O113" s="119">
        <v>0</v>
      </c>
      <c r="P113" s="119">
        <v>0</v>
      </c>
      <c r="Q113" s="119">
        <v>0</v>
      </c>
      <c r="R113" s="119">
        <v>6031.31</v>
      </c>
      <c r="S113" s="119">
        <v>0</v>
      </c>
      <c r="T113" s="116" t="s">
        <v>1347</v>
      </c>
      <c r="U113" s="116" t="s">
        <v>92</v>
      </c>
      <c r="V113" s="116" t="s">
        <v>198</v>
      </c>
      <c r="W113" s="116">
        <v>20171231</v>
      </c>
      <c r="X113" s="116">
        <v>20181230</v>
      </c>
      <c r="Y113" s="116"/>
      <c r="Z113" s="116" t="s">
        <v>922</v>
      </c>
      <c r="AA113" s="116" t="s">
        <v>105</v>
      </c>
      <c r="AB113" s="116" t="s">
        <v>1210</v>
      </c>
      <c r="AC113" s="116" t="s">
        <v>106</v>
      </c>
      <c r="AD113" s="116">
        <v>2018</v>
      </c>
      <c r="AE113" s="116" t="s">
        <v>96</v>
      </c>
      <c r="AF113" s="116" t="s">
        <v>1211</v>
      </c>
      <c r="AG113" s="116" t="s">
        <v>1783</v>
      </c>
      <c r="AH113" s="116" t="s">
        <v>437</v>
      </c>
      <c r="AI113" s="116" t="s">
        <v>108</v>
      </c>
      <c r="AJ113" s="116" t="s">
        <v>1784</v>
      </c>
      <c r="AK113" s="116" t="s">
        <v>114</v>
      </c>
      <c r="AL113" s="116" t="s">
        <v>129</v>
      </c>
      <c r="AM113" s="116" t="s">
        <v>850</v>
      </c>
      <c r="AN113" s="116" t="s">
        <v>851</v>
      </c>
      <c r="AO113" s="120">
        <v>43248</v>
      </c>
      <c r="AP113" s="116" t="s">
        <v>111</v>
      </c>
      <c r="AQ113" s="116">
        <v>33</v>
      </c>
      <c r="AR113" s="121" t="s">
        <v>545</v>
      </c>
      <c r="AS113" s="122">
        <v>43221</v>
      </c>
      <c r="AT113" s="123"/>
      <c r="AU113" s="116"/>
      <c r="AV113" s="124"/>
      <c r="AW113" s="123"/>
      <c r="AX113" s="116" t="s">
        <v>437</v>
      </c>
    </row>
    <row r="114" spans="1:50" ht="15" hidden="1">
      <c r="A114" s="116" t="s">
        <v>1346</v>
      </c>
      <c r="B114" s="116" t="s">
        <v>90</v>
      </c>
      <c r="C114" s="116" t="s">
        <v>91</v>
      </c>
      <c r="D114" s="117">
        <v>0</v>
      </c>
      <c r="E114" s="118">
        <v>424.78</v>
      </c>
      <c r="F114" s="118">
        <v>0</v>
      </c>
      <c r="G114" s="118">
        <v>0</v>
      </c>
      <c r="H114" s="118">
        <v>15658</v>
      </c>
      <c r="I114" s="118">
        <v>5143.05</v>
      </c>
      <c r="J114" s="118">
        <v>0</v>
      </c>
      <c r="K114" s="118">
        <v>0</v>
      </c>
      <c r="L114" s="118">
        <v>0</v>
      </c>
      <c r="M114" s="118">
        <v>18629</v>
      </c>
      <c r="N114" s="118">
        <v>39430.050000000003</v>
      </c>
      <c r="O114" s="119">
        <v>0</v>
      </c>
      <c r="P114" s="119">
        <v>0</v>
      </c>
      <c r="Q114" s="119">
        <v>0</v>
      </c>
      <c r="R114" s="119">
        <v>15658</v>
      </c>
      <c r="S114" s="119">
        <v>0</v>
      </c>
      <c r="T114" s="116" t="s">
        <v>1351</v>
      </c>
      <c r="U114" s="116" t="s">
        <v>92</v>
      </c>
      <c r="V114" s="116" t="s">
        <v>198</v>
      </c>
      <c r="W114" s="116">
        <v>20171231</v>
      </c>
      <c r="X114" s="116">
        <v>20181230</v>
      </c>
      <c r="Y114" s="116"/>
      <c r="Z114" s="116" t="s">
        <v>922</v>
      </c>
      <c r="AA114" s="116" t="s">
        <v>105</v>
      </c>
      <c r="AB114" s="116" t="s">
        <v>1210</v>
      </c>
      <c r="AC114" s="116" t="s">
        <v>106</v>
      </c>
      <c r="AD114" s="116">
        <v>2018</v>
      </c>
      <c r="AE114" s="116" t="s">
        <v>96</v>
      </c>
      <c r="AF114" s="116" t="s">
        <v>1211</v>
      </c>
      <c r="AG114" s="116" t="s">
        <v>1765</v>
      </c>
      <c r="AH114" s="116" t="s">
        <v>1766</v>
      </c>
      <c r="AI114" s="116" t="s">
        <v>162</v>
      </c>
      <c r="AJ114" s="116" t="s">
        <v>1767</v>
      </c>
      <c r="AK114" s="116" t="s">
        <v>106</v>
      </c>
      <c r="AL114" s="116" t="s">
        <v>129</v>
      </c>
      <c r="AM114" s="116" t="s">
        <v>238</v>
      </c>
      <c r="AN114" s="116" t="s">
        <v>846</v>
      </c>
      <c r="AO114" s="120">
        <v>43249</v>
      </c>
      <c r="AP114" s="116" t="s">
        <v>111</v>
      </c>
      <c r="AQ114" s="116">
        <v>33</v>
      </c>
      <c r="AR114" s="121" t="s">
        <v>545</v>
      </c>
      <c r="AS114" s="122">
        <v>43221</v>
      </c>
      <c r="AT114" s="123"/>
      <c r="AU114" s="116"/>
      <c r="AV114" s="124"/>
      <c r="AW114" s="123"/>
      <c r="AX114" s="116" t="s">
        <v>1766</v>
      </c>
    </row>
    <row r="115" spans="1:50" ht="15" hidden="1">
      <c r="A115" s="116" t="s">
        <v>1354</v>
      </c>
      <c r="B115" s="116" t="s">
        <v>90</v>
      </c>
      <c r="C115" s="116" t="s">
        <v>91</v>
      </c>
      <c r="D115" s="117">
        <v>0</v>
      </c>
      <c r="E115" s="118">
        <v>2713.61</v>
      </c>
      <c r="F115" s="118">
        <v>0</v>
      </c>
      <c r="G115" s="118">
        <v>0</v>
      </c>
      <c r="H115" s="118">
        <v>0</v>
      </c>
      <c r="I115" s="118">
        <v>335.25</v>
      </c>
      <c r="J115" s="118">
        <v>0</v>
      </c>
      <c r="K115" s="118">
        <v>-1500</v>
      </c>
      <c r="L115" s="118">
        <v>0</v>
      </c>
      <c r="M115" s="118">
        <v>3735</v>
      </c>
      <c r="N115" s="118">
        <v>2570.25</v>
      </c>
      <c r="O115" s="119">
        <v>0</v>
      </c>
      <c r="P115" s="119">
        <v>0</v>
      </c>
      <c r="Q115" s="119">
        <v>0</v>
      </c>
      <c r="R115" s="119">
        <v>0</v>
      </c>
      <c r="S115" s="119">
        <v>0</v>
      </c>
      <c r="T115" s="116" t="s">
        <v>1355</v>
      </c>
      <c r="U115" s="116" t="s">
        <v>92</v>
      </c>
      <c r="V115" s="116" t="s">
        <v>199</v>
      </c>
      <c r="W115" s="116">
        <v>20171231</v>
      </c>
      <c r="X115" s="116">
        <v>20181230</v>
      </c>
      <c r="Y115" s="116"/>
      <c r="Z115" s="116" t="s">
        <v>922</v>
      </c>
      <c r="AA115" s="116" t="s">
        <v>105</v>
      </c>
      <c r="AB115" s="116" t="s">
        <v>923</v>
      </c>
      <c r="AC115" s="116" t="s">
        <v>142</v>
      </c>
      <c r="AD115" s="116">
        <v>2017</v>
      </c>
      <c r="AE115" s="116" t="s">
        <v>96</v>
      </c>
      <c r="AF115" s="116" t="s">
        <v>954</v>
      </c>
      <c r="AG115" s="116" t="s">
        <v>1466</v>
      </c>
      <c r="AH115" s="116" t="s">
        <v>1467</v>
      </c>
      <c r="AI115" s="116" t="s">
        <v>119</v>
      </c>
      <c r="AJ115" s="116" t="s">
        <v>1468</v>
      </c>
      <c r="AK115" s="116" t="s">
        <v>142</v>
      </c>
      <c r="AL115" s="116" t="s">
        <v>129</v>
      </c>
      <c r="AM115" s="116" t="s">
        <v>672</v>
      </c>
      <c r="AN115" s="116" t="s">
        <v>748</v>
      </c>
      <c r="AO115" s="120">
        <v>43250</v>
      </c>
      <c r="AP115" s="116" t="s">
        <v>111</v>
      </c>
      <c r="AQ115" s="116">
        <v>33</v>
      </c>
      <c r="AR115" s="121" t="s">
        <v>545</v>
      </c>
      <c r="AS115" s="122">
        <v>43221</v>
      </c>
      <c r="AT115" s="123"/>
      <c r="AU115" s="116"/>
      <c r="AV115" s="124"/>
      <c r="AW115" s="123"/>
      <c r="AX115" s="116" t="s">
        <v>1467</v>
      </c>
    </row>
    <row r="116" spans="1:50" ht="15" hidden="1">
      <c r="A116" s="116" t="s">
        <v>1354</v>
      </c>
      <c r="B116" s="116" t="s">
        <v>90</v>
      </c>
      <c r="C116" s="116" t="s">
        <v>91</v>
      </c>
      <c r="D116" s="117">
        <v>0</v>
      </c>
      <c r="E116" s="118">
        <v>1356.8</v>
      </c>
      <c r="F116" s="118">
        <v>0</v>
      </c>
      <c r="G116" s="118">
        <v>0</v>
      </c>
      <c r="H116" s="118">
        <v>0</v>
      </c>
      <c r="I116" s="118">
        <v>450</v>
      </c>
      <c r="J116" s="118">
        <v>0</v>
      </c>
      <c r="K116" s="118">
        <v>0</v>
      </c>
      <c r="L116" s="118">
        <v>0</v>
      </c>
      <c r="M116" s="118">
        <v>3000</v>
      </c>
      <c r="N116" s="118">
        <v>3450</v>
      </c>
      <c r="O116" s="119">
        <v>0</v>
      </c>
      <c r="P116" s="119">
        <v>0</v>
      </c>
      <c r="Q116" s="119">
        <v>0</v>
      </c>
      <c r="R116" s="119">
        <v>0</v>
      </c>
      <c r="S116" s="119">
        <v>0</v>
      </c>
      <c r="T116" s="116" t="s">
        <v>1154</v>
      </c>
      <c r="U116" s="116" t="s">
        <v>92</v>
      </c>
      <c r="V116" s="116" t="s">
        <v>199</v>
      </c>
      <c r="W116" s="116">
        <v>20171231</v>
      </c>
      <c r="X116" s="116">
        <v>20181230</v>
      </c>
      <c r="Y116" s="116"/>
      <c r="Z116" s="116" t="s">
        <v>922</v>
      </c>
      <c r="AA116" s="116" t="s">
        <v>105</v>
      </c>
      <c r="AB116" s="116" t="s">
        <v>923</v>
      </c>
      <c r="AC116" s="116" t="s">
        <v>123</v>
      </c>
      <c r="AD116" s="116">
        <v>2017</v>
      </c>
      <c r="AE116" s="116" t="s">
        <v>96</v>
      </c>
      <c r="AF116" s="116" t="s">
        <v>954</v>
      </c>
      <c r="AG116" s="116" t="s">
        <v>1629</v>
      </c>
      <c r="AH116" s="116"/>
      <c r="AI116" s="116" t="s">
        <v>119</v>
      </c>
      <c r="AJ116" s="116" t="s">
        <v>1630</v>
      </c>
      <c r="AK116" s="116" t="s">
        <v>123</v>
      </c>
      <c r="AL116" s="116" t="s">
        <v>129</v>
      </c>
      <c r="AM116" s="116" t="s">
        <v>796</v>
      </c>
      <c r="AN116" s="116" t="s">
        <v>797</v>
      </c>
      <c r="AO116" s="120">
        <v>43250</v>
      </c>
      <c r="AP116" s="116" t="s">
        <v>111</v>
      </c>
      <c r="AQ116" s="116">
        <v>33</v>
      </c>
      <c r="AR116" s="125"/>
      <c r="AS116" s="122">
        <v>43221</v>
      </c>
      <c r="AT116" s="123"/>
      <c r="AU116" s="116"/>
      <c r="AV116" s="124"/>
      <c r="AW116" s="123"/>
      <c r="AX116" s="116"/>
    </row>
    <row r="117" spans="1:50" ht="15" hidden="1">
      <c r="A117" s="116" t="s">
        <v>1361</v>
      </c>
      <c r="B117" s="116" t="s">
        <v>90</v>
      </c>
      <c r="C117" s="116" t="s">
        <v>91</v>
      </c>
      <c r="D117" s="117">
        <v>0</v>
      </c>
      <c r="E117" s="118">
        <v>827.18</v>
      </c>
      <c r="F117" s="118">
        <v>0</v>
      </c>
      <c r="G117" s="118">
        <v>0</v>
      </c>
      <c r="H117" s="118">
        <v>0</v>
      </c>
      <c r="I117" s="118">
        <v>-1788.45</v>
      </c>
      <c r="J117" s="118">
        <v>0</v>
      </c>
      <c r="K117" s="118">
        <v>-15658</v>
      </c>
      <c r="L117" s="118">
        <v>0</v>
      </c>
      <c r="M117" s="118">
        <v>3735</v>
      </c>
      <c r="N117" s="118">
        <v>-13711.45</v>
      </c>
      <c r="O117" s="119">
        <v>0</v>
      </c>
      <c r="P117" s="119">
        <v>0</v>
      </c>
      <c r="Q117" s="119">
        <v>0</v>
      </c>
      <c r="R117" s="119">
        <v>0</v>
      </c>
      <c r="S117" s="119">
        <v>0</v>
      </c>
      <c r="T117" s="116" t="s">
        <v>1362</v>
      </c>
      <c r="U117" s="116" t="s">
        <v>92</v>
      </c>
      <c r="V117" s="116" t="s">
        <v>201</v>
      </c>
      <c r="W117" s="116">
        <v>20171231</v>
      </c>
      <c r="X117" s="116">
        <v>20181230</v>
      </c>
      <c r="Y117" s="116"/>
      <c r="Z117" s="116" t="s">
        <v>922</v>
      </c>
      <c r="AA117" s="116" t="s">
        <v>105</v>
      </c>
      <c r="AB117" s="116" t="s">
        <v>923</v>
      </c>
      <c r="AC117" s="116" t="s">
        <v>106</v>
      </c>
      <c r="AD117" s="116">
        <v>2017</v>
      </c>
      <c r="AE117" s="116" t="s">
        <v>96</v>
      </c>
      <c r="AF117" s="116" t="s">
        <v>954</v>
      </c>
      <c r="AG117" s="116" t="s">
        <v>1639</v>
      </c>
      <c r="AH117" s="116" t="s">
        <v>1640</v>
      </c>
      <c r="AI117" s="116" t="s">
        <v>162</v>
      </c>
      <c r="AJ117" s="116" t="s">
        <v>1641</v>
      </c>
      <c r="AK117" s="116" t="s">
        <v>106</v>
      </c>
      <c r="AL117" s="116" t="s">
        <v>129</v>
      </c>
      <c r="AM117" s="116" t="s">
        <v>297</v>
      </c>
      <c r="AN117" s="116" t="s">
        <v>801</v>
      </c>
      <c r="AO117" s="120">
        <v>43250</v>
      </c>
      <c r="AP117" s="116" t="s">
        <v>111</v>
      </c>
      <c r="AQ117" s="116">
        <v>33</v>
      </c>
      <c r="AR117" s="121" t="s">
        <v>554</v>
      </c>
      <c r="AS117" s="122">
        <v>43221</v>
      </c>
      <c r="AT117" s="123"/>
      <c r="AU117" s="116"/>
      <c r="AV117" s="124"/>
      <c r="AW117" s="123"/>
      <c r="AX117" s="116" t="s">
        <v>1640</v>
      </c>
    </row>
    <row r="118" spans="1:50" ht="15" hidden="1">
      <c r="A118" s="116" t="s">
        <v>1365</v>
      </c>
      <c r="B118" s="116" t="s">
        <v>90</v>
      </c>
      <c r="C118" s="116" t="s">
        <v>91</v>
      </c>
      <c r="D118" s="117">
        <v>0</v>
      </c>
      <c r="E118" s="118">
        <v>1444.36</v>
      </c>
      <c r="F118" s="118">
        <v>0</v>
      </c>
      <c r="G118" s="118">
        <v>0</v>
      </c>
      <c r="H118" s="118">
        <v>15122.14</v>
      </c>
      <c r="I118" s="118">
        <v>-80.38</v>
      </c>
      <c r="J118" s="118">
        <v>0</v>
      </c>
      <c r="K118" s="118">
        <v>-15658</v>
      </c>
      <c r="L118" s="118">
        <v>0</v>
      </c>
      <c r="M118" s="118">
        <v>0</v>
      </c>
      <c r="N118" s="118">
        <v>-616.24</v>
      </c>
      <c r="O118" s="119">
        <v>15122.14</v>
      </c>
      <c r="P118" s="119">
        <v>0</v>
      </c>
      <c r="Q118" s="119">
        <v>0</v>
      </c>
      <c r="R118" s="119">
        <v>0</v>
      </c>
      <c r="S118" s="119">
        <v>0</v>
      </c>
      <c r="T118" s="116" t="s">
        <v>1366</v>
      </c>
      <c r="U118" s="116" t="s">
        <v>92</v>
      </c>
      <c r="V118" s="116" t="s">
        <v>202</v>
      </c>
      <c r="W118" s="116">
        <v>20171231</v>
      </c>
      <c r="X118" s="116">
        <v>20181230</v>
      </c>
      <c r="Y118" s="116"/>
      <c r="Z118" s="116" t="s">
        <v>922</v>
      </c>
      <c r="AA118" s="116" t="s">
        <v>93</v>
      </c>
      <c r="AB118" s="116" t="s">
        <v>923</v>
      </c>
      <c r="AC118" s="116" t="s">
        <v>169</v>
      </c>
      <c r="AD118" s="116">
        <v>2014</v>
      </c>
      <c r="AE118" s="116" t="s">
        <v>96</v>
      </c>
      <c r="AF118" s="116" t="s">
        <v>924</v>
      </c>
      <c r="AG118" s="116" t="s">
        <v>925</v>
      </c>
      <c r="AH118" s="116" t="s">
        <v>926</v>
      </c>
      <c r="AI118" s="116" t="s">
        <v>162</v>
      </c>
      <c r="AJ118" s="116" t="s">
        <v>927</v>
      </c>
      <c r="AK118" s="116" t="s">
        <v>169</v>
      </c>
      <c r="AL118" s="116" t="s">
        <v>129</v>
      </c>
      <c r="AM118" s="116" t="s">
        <v>543</v>
      </c>
      <c r="AN118" s="116" t="s">
        <v>544</v>
      </c>
      <c r="AO118" s="120">
        <v>43252</v>
      </c>
      <c r="AP118" s="116" t="s">
        <v>111</v>
      </c>
      <c r="AQ118" s="116">
        <v>33</v>
      </c>
      <c r="AR118" s="121" t="s">
        <v>545</v>
      </c>
      <c r="AS118" s="122">
        <v>43221</v>
      </c>
      <c r="AT118" s="123"/>
      <c r="AU118" s="116"/>
      <c r="AV118" s="124"/>
      <c r="AW118" s="123"/>
      <c r="AX118" s="116" t="s">
        <v>926</v>
      </c>
    </row>
    <row r="119" spans="1:50" ht="15" hidden="1">
      <c r="A119" s="116" t="s">
        <v>1365</v>
      </c>
      <c r="B119" s="116" t="s">
        <v>90</v>
      </c>
      <c r="C119" s="116" t="s">
        <v>91</v>
      </c>
      <c r="D119" s="117">
        <v>0</v>
      </c>
      <c r="E119" s="118">
        <v>698.89</v>
      </c>
      <c r="F119" s="118">
        <v>0</v>
      </c>
      <c r="G119" s="118">
        <v>0</v>
      </c>
      <c r="H119" s="118">
        <v>0</v>
      </c>
      <c r="I119" s="118">
        <v>-1788.45</v>
      </c>
      <c r="J119" s="118">
        <v>0</v>
      </c>
      <c r="K119" s="118">
        <v>-15658</v>
      </c>
      <c r="L119" s="118">
        <v>0</v>
      </c>
      <c r="M119" s="118">
        <v>3735</v>
      </c>
      <c r="N119" s="118">
        <v>-13711.45</v>
      </c>
      <c r="O119" s="119">
        <v>0</v>
      </c>
      <c r="P119" s="119">
        <v>0</v>
      </c>
      <c r="Q119" s="119">
        <v>0</v>
      </c>
      <c r="R119" s="119">
        <v>0</v>
      </c>
      <c r="S119" s="119">
        <v>0</v>
      </c>
      <c r="T119" s="116" t="s">
        <v>1370</v>
      </c>
      <c r="U119" s="116" t="s">
        <v>92</v>
      </c>
      <c r="V119" s="116" t="s">
        <v>202</v>
      </c>
      <c r="W119" s="116">
        <v>20171231</v>
      </c>
      <c r="X119" s="116">
        <v>20181230</v>
      </c>
      <c r="Y119" s="116"/>
      <c r="Z119" s="116" t="s">
        <v>922</v>
      </c>
      <c r="AA119" s="116" t="s">
        <v>105</v>
      </c>
      <c r="AB119" s="116" t="s">
        <v>923</v>
      </c>
      <c r="AC119" s="116" t="s">
        <v>106</v>
      </c>
      <c r="AD119" s="116">
        <v>2014</v>
      </c>
      <c r="AE119" s="116" t="s">
        <v>96</v>
      </c>
      <c r="AF119" s="116" t="s">
        <v>924</v>
      </c>
      <c r="AG119" s="116" t="s">
        <v>937</v>
      </c>
      <c r="AH119" s="116" t="s">
        <v>938</v>
      </c>
      <c r="AI119" s="116" t="s">
        <v>119</v>
      </c>
      <c r="AJ119" s="116" t="s">
        <v>939</v>
      </c>
      <c r="AK119" s="116" t="s">
        <v>114</v>
      </c>
      <c r="AL119" s="116" t="s">
        <v>548</v>
      </c>
      <c r="AM119" s="116" t="s">
        <v>549</v>
      </c>
      <c r="AN119" s="116" t="s">
        <v>550</v>
      </c>
      <c r="AO119" s="120">
        <v>43276</v>
      </c>
      <c r="AP119" s="116" t="s">
        <v>111</v>
      </c>
      <c r="AQ119" s="116">
        <v>33</v>
      </c>
      <c r="AR119" s="125"/>
      <c r="AS119" s="122">
        <v>43252</v>
      </c>
      <c r="AT119" s="123"/>
      <c r="AU119" s="116"/>
      <c r="AV119" s="124"/>
      <c r="AW119" s="123"/>
      <c r="AX119" s="116" t="s">
        <v>938</v>
      </c>
    </row>
    <row r="120" spans="1:50" ht="15" hidden="1">
      <c r="A120" s="116" t="s">
        <v>1373</v>
      </c>
      <c r="B120" s="116" t="s">
        <v>90</v>
      </c>
      <c r="C120" s="116" t="s">
        <v>91</v>
      </c>
      <c r="D120" s="117">
        <v>0</v>
      </c>
      <c r="E120" s="118">
        <v>1260.2</v>
      </c>
      <c r="F120" s="118">
        <v>5154.01</v>
      </c>
      <c r="G120" s="118">
        <v>5154.01</v>
      </c>
      <c r="H120" s="118">
        <v>35475.22</v>
      </c>
      <c r="I120" s="118">
        <v>5321.28</v>
      </c>
      <c r="J120" s="118">
        <v>0</v>
      </c>
      <c r="K120" s="118">
        <v>0</v>
      </c>
      <c r="L120" s="118">
        <v>0</v>
      </c>
      <c r="M120" s="118">
        <v>0</v>
      </c>
      <c r="N120" s="118">
        <v>40796.5</v>
      </c>
      <c r="O120" s="119">
        <v>35475.22</v>
      </c>
      <c r="P120" s="119">
        <v>0</v>
      </c>
      <c r="Q120" s="119">
        <v>0</v>
      </c>
      <c r="R120" s="119">
        <v>0</v>
      </c>
      <c r="S120" s="119">
        <v>0</v>
      </c>
      <c r="T120" s="116" t="s">
        <v>1374</v>
      </c>
      <c r="U120" s="116" t="s">
        <v>92</v>
      </c>
      <c r="V120" s="116" t="s">
        <v>203</v>
      </c>
      <c r="W120" s="116">
        <v>20171231</v>
      </c>
      <c r="X120" s="116">
        <v>20181230</v>
      </c>
      <c r="Y120" s="116"/>
      <c r="Z120" s="116" t="s">
        <v>922</v>
      </c>
      <c r="AA120" s="116" t="s">
        <v>105</v>
      </c>
      <c r="AB120" s="116" t="s">
        <v>923</v>
      </c>
      <c r="AC120" s="116" t="s">
        <v>131</v>
      </c>
      <c r="AD120" s="116">
        <v>2017</v>
      </c>
      <c r="AE120" s="116" t="s">
        <v>96</v>
      </c>
      <c r="AF120" s="116" t="s">
        <v>954</v>
      </c>
      <c r="AG120" s="116" t="s">
        <v>1478</v>
      </c>
      <c r="AH120" s="116" t="s">
        <v>1479</v>
      </c>
      <c r="AI120" s="116" t="s">
        <v>162</v>
      </c>
      <c r="AJ120" s="116" t="s">
        <v>1480</v>
      </c>
      <c r="AK120" s="116" t="s">
        <v>131</v>
      </c>
      <c r="AL120" s="116" t="s">
        <v>129</v>
      </c>
      <c r="AM120" s="116" t="s">
        <v>577</v>
      </c>
      <c r="AN120" s="116" t="s">
        <v>751</v>
      </c>
      <c r="AO120" s="120">
        <v>43252</v>
      </c>
      <c r="AP120" s="116" t="s">
        <v>111</v>
      </c>
      <c r="AQ120" s="116">
        <v>33</v>
      </c>
      <c r="AR120" s="121" t="s">
        <v>545</v>
      </c>
      <c r="AS120" s="122">
        <v>43252</v>
      </c>
      <c r="AT120" s="123"/>
      <c r="AU120" s="116"/>
      <c r="AV120" s="124"/>
      <c r="AW120" s="123"/>
      <c r="AX120" s="116" t="s">
        <v>1479</v>
      </c>
    </row>
    <row r="121" spans="1:50" ht="15" hidden="1">
      <c r="A121" s="116" t="s">
        <v>1376</v>
      </c>
      <c r="B121" s="116" t="s">
        <v>90</v>
      </c>
      <c r="C121" s="116" t="s">
        <v>91</v>
      </c>
      <c r="D121" s="117">
        <v>0</v>
      </c>
      <c r="E121" s="118">
        <v>414.07</v>
      </c>
      <c r="F121" s="118">
        <v>0</v>
      </c>
      <c r="G121" s="118">
        <v>0</v>
      </c>
      <c r="H121" s="118">
        <v>0</v>
      </c>
      <c r="I121" s="118">
        <v>0</v>
      </c>
      <c r="J121" s="118">
        <v>0</v>
      </c>
      <c r="K121" s="118">
        <v>0</v>
      </c>
      <c r="L121" s="118">
        <v>0</v>
      </c>
      <c r="M121" s="118">
        <v>0</v>
      </c>
      <c r="N121" s="118">
        <v>0</v>
      </c>
      <c r="O121" s="119">
        <v>0</v>
      </c>
      <c r="P121" s="119">
        <v>0</v>
      </c>
      <c r="Q121" s="119">
        <v>0</v>
      </c>
      <c r="R121" s="119">
        <v>0</v>
      </c>
      <c r="S121" s="119">
        <v>0</v>
      </c>
      <c r="T121" s="116" t="s">
        <v>1175</v>
      </c>
      <c r="U121" s="116" t="s">
        <v>92</v>
      </c>
      <c r="V121" s="116" t="s">
        <v>204</v>
      </c>
      <c r="W121" s="116">
        <v>20171231</v>
      </c>
      <c r="X121" s="116">
        <v>20181230</v>
      </c>
      <c r="Y121" s="116"/>
      <c r="Z121" s="116" t="s">
        <v>922</v>
      </c>
      <c r="AA121" s="116" t="s">
        <v>105</v>
      </c>
      <c r="AB121" s="116" t="s">
        <v>923</v>
      </c>
      <c r="AC121" s="116" t="s">
        <v>161</v>
      </c>
      <c r="AD121" s="116">
        <v>2017</v>
      </c>
      <c r="AE121" s="116" t="s">
        <v>96</v>
      </c>
      <c r="AF121" s="116" t="s">
        <v>954</v>
      </c>
      <c r="AG121" s="116" t="s">
        <v>1687</v>
      </c>
      <c r="AH121" s="116" t="s">
        <v>1688</v>
      </c>
      <c r="AI121" s="116" t="s">
        <v>119</v>
      </c>
      <c r="AJ121" s="116" t="s">
        <v>1689</v>
      </c>
      <c r="AK121" s="116" t="s">
        <v>161</v>
      </c>
      <c r="AL121" s="116" t="s">
        <v>129</v>
      </c>
      <c r="AM121" s="116" t="s">
        <v>584</v>
      </c>
      <c r="AN121" s="116" t="s">
        <v>821</v>
      </c>
      <c r="AO121" s="120">
        <v>43253</v>
      </c>
      <c r="AP121" s="116" t="s">
        <v>111</v>
      </c>
      <c r="AQ121" s="116">
        <v>33</v>
      </c>
      <c r="AR121" s="121" t="s">
        <v>554</v>
      </c>
      <c r="AS121" s="122">
        <v>43252</v>
      </c>
      <c r="AT121" s="123"/>
      <c r="AU121" s="116"/>
      <c r="AV121" s="124"/>
      <c r="AW121" s="123"/>
      <c r="AX121" s="116" t="s">
        <v>1688</v>
      </c>
    </row>
    <row r="122" spans="1:50" ht="15" hidden="1">
      <c r="A122" s="116" t="s">
        <v>1380</v>
      </c>
      <c r="B122" s="116" t="s">
        <v>90</v>
      </c>
      <c r="C122" s="116" t="s">
        <v>91</v>
      </c>
      <c r="D122" s="117">
        <v>0</v>
      </c>
      <c r="E122" s="118">
        <v>1250.24</v>
      </c>
      <c r="F122" s="118">
        <v>0</v>
      </c>
      <c r="G122" s="118">
        <v>0</v>
      </c>
      <c r="H122" s="118">
        <v>16999.55</v>
      </c>
      <c r="I122" s="118">
        <v>2549.9299999999998</v>
      </c>
      <c r="J122" s="118">
        <v>0</v>
      </c>
      <c r="K122" s="118">
        <v>0</v>
      </c>
      <c r="L122" s="118">
        <v>0</v>
      </c>
      <c r="M122" s="118">
        <v>0</v>
      </c>
      <c r="N122" s="118">
        <v>19549.48</v>
      </c>
      <c r="O122" s="119">
        <v>16999.55</v>
      </c>
      <c r="P122" s="119">
        <v>0</v>
      </c>
      <c r="Q122" s="119">
        <v>0</v>
      </c>
      <c r="R122" s="119">
        <v>0</v>
      </c>
      <c r="S122" s="119">
        <v>0</v>
      </c>
      <c r="T122" s="116" t="s">
        <v>1290</v>
      </c>
      <c r="U122" s="116" t="s">
        <v>92</v>
      </c>
      <c r="V122" s="116" t="s">
        <v>1381</v>
      </c>
      <c r="W122" s="116">
        <v>20171231</v>
      </c>
      <c r="X122" s="116">
        <v>20181230</v>
      </c>
      <c r="Y122" s="116"/>
      <c r="Z122" s="116" t="s">
        <v>922</v>
      </c>
      <c r="AA122" s="116" t="s">
        <v>105</v>
      </c>
      <c r="AB122" s="116" t="s">
        <v>923</v>
      </c>
      <c r="AC122" s="116" t="s">
        <v>106</v>
      </c>
      <c r="AD122" s="116">
        <v>2016</v>
      </c>
      <c r="AE122" s="116" t="s">
        <v>96</v>
      </c>
      <c r="AF122" s="116" t="s">
        <v>954</v>
      </c>
      <c r="AG122" s="116" t="s">
        <v>1006</v>
      </c>
      <c r="AH122" s="116" t="s">
        <v>1003</v>
      </c>
      <c r="AI122" s="116" t="s">
        <v>119</v>
      </c>
      <c r="AJ122" s="116" t="s">
        <v>1007</v>
      </c>
      <c r="AK122" s="116" t="s">
        <v>106</v>
      </c>
      <c r="AL122" s="116" t="s">
        <v>129</v>
      </c>
      <c r="AM122" s="116" t="s">
        <v>510</v>
      </c>
      <c r="AN122" s="116" t="s">
        <v>562</v>
      </c>
      <c r="AO122" s="120">
        <v>43255</v>
      </c>
      <c r="AP122" s="116" t="s">
        <v>111</v>
      </c>
      <c r="AQ122" s="116">
        <v>33</v>
      </c>
      <c r="AR122" s="121" t="s">
        <v>545</v>
      </c>
      <c r="AS122" s="122">
        <v>43252</v>
      </c>
      <c r="AT122" s="123"/>
      <c r="AU122" s="116"/>
      <c r="AV122" s="124"/>
      <c r="AW122" s="123"/>
      <c r="AX122" s="116" t="s">
        <v>1003</v>
      </c>
    </row>
    <row r="123" spans="1:50" ht="15" hidden="1">
      <c r="A123" s="116" t="s">
        <v>1380</v>
      </c>
      <c r="B123" s="116" t="s">
        <v>90</v>
      </c>
      <c r="C123" s="116" t="s">
        <v>91</v>
      </c>
      <c r="D123" s="117">
        <v>0</v>
      </c>
      <c r="E123" s="118">
        <v>1230.07</v>
      </c>
      <c r="F123" s="118">
        <v>0</v>
      </c>
      <c r="G123" s="118">
        <v>0</v>
      </c>
      <c r="H123" s="118">
        <v>2319.08</v>
      </c>
      <c r="I123" s="118">
        <v>347.86</v>
      </c>
      <c r="J123" s="118">
        <v>0</v>
      </c>
      <c r="K123" s="118">
        <v>0</v>
      </c>
      <c r="L123" s="118">
        <v>0</v>
      </c>
      <c r="M123" s="118">
        <v>0</v>
      </c>
      <c r="N123" s="118">
        <v>2666.94</v>
      </c>
      <c r="O123" s="119">
        <v>2319.08</v>
      </c>
      <c r="P123" s="119">
        <v>0</v>
      </c>
      <c r="Q123" s="119">
        <v>0</v>
      </c>
      <c r="R123" s="119">
        <v>0</v>
      </c>
      <c r="S123" s="119">
        <v>0</v>
      </c>
      <c r="T123" s="116" t="s">
        <v>1383</v>
      </c>
      <c r="U123" s="116" t="s">
        <v>92</v>
      </c>
      <c r="V123" s="116" t="s">
        <v>1381</v>
      </c>
      <c r="W123" s="116">
        <v>20171231</v>
      </c>
      <c r="X123" s="116">
        <v>20181230</v>
      </c>
      <c r="Y123" s="116"/>
      <c r="Z123" s="116" t="s">
        <v>922</v>
      </c>
      <c r="AA123" s="116" t="s">
        <v>105</v>
      </c>
      <c r="AB123" s="116" t="s">
        <v>923</v>
      </c>
      <c r="AC123" s="116" t="s">
        <v>168</v>
      </c>
      <c r="AD123" s="116">
        <v>2016</v>
      </c>
      <c r="AE123" s="116" t="s">
        <v>96</v>
      </c>
      <c r="AF123" s="116" t="s">
        <v>954</v>
      </c>
      <c r="AG123" s="116" t="s">
        <v>1253</v>
      </c>
      <c r="AH123" s="116" t="s">
        <v>1254</v>
      </c>
      <c r="AI123" s="116" t="s">
        <v>108</v>
      </c>
      <c r="AJ123" s="116" t="s">
        <v>1255</v>
      </c>
      <c r="AK123" s="116" t="s">
        <v>168</v>
      </c>
      <c r="AL123" s="116" t="s">
        <v>129</v>
      </c>
      <c r="AM123" s="116" t="s">
        <v>622</v>
      </c>
      <c r="AN123" s="116" t="s">
        <v>667</v>
      </c>
      <c r="AO123" s="120">
        <v>43257</v>
      </c>
      <c r="AP123" s="116" t="s">
        <v>111</v>
      </c>
      <c r="AQ123" s="116">
        <v>33</v>
      </c>
      <c r="AR123" s="121" t="s">
        <v>545</v>
      </c>
      <c r="AS123" s="122">
        <v>43252</v>
      </c>
      <c r="AT123" s="123"/>
      <c r="AU123" s="116"/>
      <c r="AV123" s="124"/>
      <c r="AW123" s="123"/>
      <c r="AX123" s="116" t="s">
        <v>1254</v>
      </c>
    </row>
    <row r="124" spans="1:50" ht="15" hidden="1">
      <c r="A124" s="116" t="s">
        <v>1386</v>
      </c>
      <c r="B124" s="116" t="s">
        <v>90</v>
      </c>
      <c r="C124" s="116" t="s">
        <v>91</v>
      </c>
      <c r="D124" s="117">
        <v>0</v>
      </c>
      <c r="E124" s="118">
        <v>1288.51</v>
      </c>
      <c r="F124" s="118">
        <v>0</v>
      </c>
      <c r="G124" s="118">
        <v>0</v>
      </c>
      <c r="H124" s="118">
        <v>34460.559999999998</v>
      </c>
      <c r="I124" s="118">
        <v>5169.08</v>
      </c>
      <c r="J124" s="118">
        <v>0</v>
      </c>
      <c r="K124" s="118">
        <v>0</v>
      </c>
      <c r="L124" s="118">
        <v>0</v>
      </c>
      <c r="M124" s="118">
        <v>0</v>
      </c>
      <c r="N124" s="118">
        <v>39629.64</v>
      </c>
      <c r="O124" s="119">
        <v>34460.559999999998</v>
      </c>
      <c r="P124" s="119">
        <v>0</v>
      </c>
      <c r="Q124" s="119">
        <v>0</v>
      </c>
      <c r="R124" s="119">
        <v>0</v>
      </c>
      <c r="S124" s="119">
        <v>0</v>
      </c>
      <c r="T124" s="116" t="s">
        <v>953</v>
      </c>
      <c r="U124" s="116" t="s">
        <v>92</v>
      </c>
      <c r="V124" s="116" t="s">
        <v>205</v>
      </c>
      <c r="W124" s="116">
        <v>20171231</v>
      </c>
      <c r="X124" s="116">
        <v>20181230</v>
      </c>
      <c r="Y124" s="116"/>
      <c r="Z124" s="116" t="s">
        <v>922</v>
      </c>
      <c r="AA124" s="116" t="s">
        <v>105</v>
      </c>
      <c r="AB124" s="116" t="s">
        <v>923</v>
      </c>
      <c r="AC124" s="116" t="s">
        <v>106</v>
      </c>
      <c r="AD124" s="116">
        <v>2017</v>
      </c>
      <c r="AE124" s="116" t="s">
        <v>96</v>
      </c>
      <c r="AF124" s="116" t="s">
        <v>954</v>
      </c>
      <c r="AG124" s="116" t="s">
        <v>1575</v>
      </c>
      <c r="AH124" s="116" t="s">
        <v>1576</v>
      </c>
      <c r="AI124" s="116" t="s">
        <v>162</v>
      </c>
      <c r="AJ124" s="116" t="s">
        <v>1577</v>
      </c>
      <c r="AK124" s="116" t="s">
        <v>106</v>
      </c>
      <c r="AL124" s="116" t="s">
        <v>129</v>
      </c>
      <c r="AM124" s="116" t="s">
        <v>681</v>
      </c>
      <c r="AN124" s="116" t="s">
        <v>778</v>
      </c>
      <c r="AO124" s="120">
        <v>43257</v>
      </c>
      <c r="AP124" s="116" t="s">
        <v>111</v>
      </c>
      <c r="AQ124" s="116">
        <v>33</v>
      </c>
      <c r="AR124" s="125"/>
      <c r="AS124" s="122">
        <v>43252</v>
      </c>
      <c r="AT124" s="123"/>
      <c r="AU124" s="116"/>
      <c r="AV124" s="124"/>
      <c r="AW124" s="123"/>
      <c r="AX124" s="116" t="s">
        <v>1576</v>
      </c>
    </row>
    <row r="125" spans="1:50" ht="15" hidden="1">
      <c r="A125" s="116" t="s">
        <v>1390</v>
      </c>
      <c r="B125" s="116" t="s">
        <v>90</v>
      </c>
      <c r="C125" s="116" t="s">
        <v>91</v>
      </c>
      <c r="D125" s="117">
        <v>0</v>
      </c>
      <c r="E125" s="118">
        <v>1369.52</v>
      </c>
      <c r="F125" s="118">
        <v>8449.17</v>
      </c>
      <c r="G125" s="118">
        <v>8449.17</v>
      </c>
      <c r="H125" s="118">
        <v>0</v>
      </c>
      <c r="I125" s="118">
        <v>0</v>
      </c>
      <c r="J125" s="118">
        <v>0</v>
      </c>
      <c r="K125" s="118">
        <v>0</v>
      </c>
      <c r="L125" s="118">
        <v>0</v>
      </c>
      <c r="M125" s="118">
        <v>0</v>
      </c>
      <c r="N125" s="118">
        <v>0</v>
      </c>
      <c r="O125" s="119">
        <v>0</v>
      </c>
      <c r="P125" s="119">
        <v>0</v>
      </c>
      <c r="Q125" s="119">
        <v>0</v>
      </c>
      <c r="R125" s="119">
        <v>0</v>
      </c>
      <c r="S125" s="119">
        <v>0</v>
      </c>
      <c r="T125" s="116" t="s">
        <v>1391</v>
      </c>
      <c r="U125" s="116" t="s">
        <v>92</v>
      </c>
      <c r="V125" s="116" t="s">
        <v>206</v>
      </c>
      <c r="W125" s="116">
        <v>20171231</v>
      </c>
      <c r="X125" s="116">
        <v>20181230</v>
      </c>
      <c r="Y125" s="116"/>
      <c r="Z125" s="116" t="s">
        <v>922</v>
      </c>
      <c r="AA125" s="116" t="s">
        <v>105</v>
      </c>
      <c r="AB125" s="116" t="s">
        <v>1199</v>
      </c>
      <c r="AC125" s="116" t="s">
        <v>142</v>
      </c>
      <c r="AD125" s="116">
        <v>2016</v>
      </c>
      <c r="AE125" s="116" t="s">
        <v>96</v>
      </c>
      <c r="AF125" s="116" t="s">
        <v>1200</v>
      </c>
      <c r="AG125" s="116" t="s">
        <v>1205</v>
      </c>
      <c r="AH125" s="116"/>
      <c r="AI125" s="116" t="s">
        <v>119</v>
      </c>
      <c r="AJ125" s="116" t="s">
        <v>1206</v>
      </c>
      <c r="AK125" s="116" t="s">
        <v>142</v>
      </c>
      <c r="AL125" s="116" t="s">
        <v>426</v>
      </c>
      <c r="AM125" s="116" t="s">
        <v>648</v>
      </c>
      <c r="AN125" s="116" t="s">
        <v>649</v>
      </c>
      <c r="AO125" s="120">
        <v>43258</v>
      </c>
      <c r="AP125" s="116" t="s">
        <v>111</v>
      </c>
      <c r="AQ125" s="116">
        <v>33</v>
      </c>
      <c r="AR125" s="125"/>
      <c r="AS125" s="122">
        <v>43252</v>
      </c>
      <c r="AT125" s="123"/>
      <c r="AU125" s="116"/>
      <c r="AV125" s="124"/>
      <c r="AW125" s="123"/>
      <c r="AX125" s="116"/>
    </row>
    <row r="126" spans="1:50" ht="15" hidden="1">
      <c r="A126" s="116" t="s">
        <v>1394</v>
      </c>
      <c r="B126" s="116" t="s">
        <v>90</v>
      </c>
      <c r="C126" s="116" t="s">
        <v>91</v>
      </c>
      <c r="D126" s="117">
        <v>0</v>
      </c>
      <c r="E126" s="118">
        <v>1271.73</v>
      </c>
      <c r="F126" s="118">
        <v>0</v>
      </c>
      <c r="G126" s="118">
        <v>0</v>
      </c>
      <c r="H126" s="118">
        <v>4194.68</v>
      </c>
      <c r="I126" s="118">
        <v>1112.2</v>
      </c>
      <c r="J126" s="118">
        <v>0</v>
      </c>
      <c r="K126" s="118">
        <v>0</v>
      </c>
      <c r="L126" s="118">
        <v>0</v>
      </c>
      <c r="M126" s="118">
        <v>0</v>
      </c>
      <c r="N126" s="118">
        <v>5306.88</v>
      </c>
      <c r="O126" s="119">
        <v>4194.68</v>
      </c>
      <c r="P126" s="119">
        <v>0</v>
      </c>
      <c r="Q126" s="119">
        <v>0</v>
      </c>
      <c r="R126" s="119">
        <v>0</v>
      </c>
      <c r="S126" s="119">
        <v>0</v>
      </c>
      <c r="T126" s="116" t="s">
        <v>1395</v>
      </c>
      <c r="U126" s="116" t="s">
        <v>92</v>
      </c>
      <c r="V126" s="116" t="s">
        <v>207</v>
      </c>
      <c r="W126" s="116">
        <v>20171231</v>
      </c>
      <c r="X126" s="116">
        <v>20181230</v>
      </c>
      <c r="Y126" s="116"/>
      <c r="Z126" s="116" t="s">
        <v>922</v>
      </c>
      <c r="AA126" s="116" t="s">
        <v>105</v>
      </c>
      <c r="AB126" s="116" t="s">
        <v>923</v>
      </c>
      <c r="AC126" s="116" t="s">
        <v>106</v>
      </c>
      <c r="AD126" s="116">
        <v>2018</v>
      </c>
      <c r="AE126" s="116" t="s">
        <v>96</v>
      </c>
      <c r="AF126" s="116" t="s">
        <v>289</v>
      </c>
      <c r="AG126" s="116" t="s">
        <v>1933</v>
      </c>
      <c r="AH126" s="116" t="s">
        <v>1934</v>
      </c>
      <c r="AI126" s="116" t="s">
        <v>162</v>
      </c>
      <c r="AJ126" s="116" t="s">
        <v>1935</v>
      </c>
      <c r="AK126" s="116" t="s">
        <v>106</v>
      </c>
      <c r="AL126" s="116" t="s">
        <v>129</v>
      </c>
      <c r="AM126" s="116" t="s">
        <v>894</v>
      </c>
      <c r="AN126" s="116" t="s">
        <v>895</v>
      </c>
      <c r="AO126" s="120">
        <v>43259</v>
      </c>
      <c r="AP126" s="116" t="s">
        <v>111</v>
      </c>
      <c r="AQ126" s="116">
        <v>33</v>
      </c>
      <c r="AR126" s="121" t="s">
        <v>545</v>
      </c>
      <c r="AS126" s="122">
        <v>43252</v>
      </c>
      <c r="AT126" s="123"/>
      <c r="AU126" s="116"/>
      <c r="AV126" s="124"/>
      <c r="AW126" s="123"/>
      <c r="AX126" s="116" t="s">
        <v>1934</v>
      </c>
    </row>
    <row r="127" spans="1:50" ht="15" hidden="1">
      <c r="A127" s="116" t="s">
        <v>1399</v>
      </c>
      <c r="B127" s="116" t="s">
        <v>90</v>
      </c>
      <c r="C127" s="116" t="s">
        <v>91</v>
      </c>
      <c r="D127" s="117">
        <v>0</v>
      </c>
      <c r="E127" s="118">
        <v>1302.67</v>
      </c>
      <c r="F127" s="118">
        <v>0</v>
      </c>
      <c r="G127" s="118">
        <v>0</v>
      </c>
      <c r="H127" s="118">
        <v>50279.14</v>
      </c>
      <c r="I127" s="118">
        <v>13493.95</v>
      </c>
      <c r="J127" s="118">
        <v>0</v>
      </c>
      <c r="K127" s="118">
        <v>-6319.45</v>
      </c>
      <c r="L127" s="118">
        <v>0</v>
      </c>
      <c r="M127" s="118">
        <v>0</v>
      </c>
      <c r="N127" s="118">
        <v>57453.64</v>
      </c>
      <c r="O127" s="119">
        <v>41289.46</v>
      </c>
      <c r="P127" s="119">
        <v>0</v>
      </c>
      <c r="Q127" s="119">
        <v>0</v>
      </c>
      <c r="R127" s="119">
        <v>8989.68</v>
      </c>
      <c r="S127" s="119">
        <v>0</v>
      </c>
      <c r="T127" s="116" t="s">
        <v>1400</v>
      </c>
      <c r="U127" s="116" t="s">
        <v>92</v>
      </c>
      <c r="V127" s="116" t="s">
        <v>208</v>
      </c>
      <c r="W127" s="116">
        <v>20171231</v>
      </c>
      <c r="X127" s="116">
        <v>20181230</v>
      </c>
      <c r="Y127" s="116"/>
      <c r="Z127" s="116" t="s">
        <v>922</v>
      </c>
      <c r="AA127" s="116" t="s">
        <v>105</v>
      </c>
      <c r="AB127" s="116" t="s">
        <v>923</v>
      </c>
      <c r="AC127" s="116" t="s">
        <v>106</v>
      </c>
      <c r="AD127" s="116">
        <v>2018</v>
      </c>
      <c r="AE127" s="116" t="s">
        <v>96</v>
      </c>
      <c r="AF127" s="116" t="s">
        <v>289</v>
      </c>
      <c r="AG127" s="116" t="s">
        <v>1878</v>
      </c>
      <c r="AH127" s="116" t="s">
        <v>1879</v>
      </c>
      <c r="AI127" s="116" t="s">
        <v>108</v>
      </c>
      <c r="AJ127" s="116" t="s">
        <v>1880</v>
      </c>
      <c r="AK127" s="116" t="s">
        <v>106</v>
      </c>
      <c r="AL127" s="116" t="s">
        <v>129</v>
      </c>
      <c r="AM127" s="116" t="s">
        <v>439</v>
      </c>
      <c r="AN127" s="116" t="s">
        <v>884</v>
      </c>
      <c r="AO127" s="120">
        <v>43260</v>
      </c>
      <c r="AP127" s="116" t="s">
        <v>111</v>
      </c>
      <c r="AQ127" s="116">
        <v>33</v>
      </c>
      <c r="AR127" s="121" t="s">
        <v>545</v>
      </c>
      <c r="AS127" s="122">
        <v>43252</v>
      </c>
      <c r="AT127" s="123"/>
      <c r="AU127" s="116"/>
      <c r="AV127" s="124"/>
      <c r="AW127" s="123"/>
      <c r="AX127" s="116" t="s">
        <v>1879</v>
      </c>
    </row>
    <row r="128" spans="1:50" ht="15" hidden="1">
      <c r="A128" s="116" t="s">
        <v>1403</v>
      </c>
      <c r="B128" s="116" t="s">
        <v>90</v>
      </c>
      <c r="C128" s="116" t="s">
        <v>91</v>
      </c>
      <c r="D128" s="117">
        <v>0</v>
      </c>
      <c r="E128" s="118">
        <v>1415.94</v>
      </c>
      <c r="F128" s="118">
        <v>0</v>
      </c>
      <c r="G128" s="118">
        <v>0</v>
      </c>
      <c r="H128" s="118">
        <v>1974.77</v>
      </c>
      <c r="I128" s="118">
        <v>296.22000000000003</v>
      </c>
      <c r="J128" s="118">
        <v>0</v>
      </c>
      <c r="K128" s="118">
        <v>0</v>
      </c>
      <c r="L128" s="118">
        <v>0</v>
      </c>
      <c r="M128" s="118">
        <v>0</v>
      </c>
      <c r="N128" s="118">
        <v>2270.9899999999998</v>
      </c>
      <c r="O128" s="119">
        <v>0</v>
      </c>
      <c r="P128" s="119">
        <v>0</v>
      </c>
      <c r="Q128" s="119">
        <v>0</v>
      </c>
      <c r="R128" s="119">
        <v>1974.77</v>
      </c>
      <c r="S128" s="119">
        <v>0</v>
      </c>
      <c r="T128" s="116" t="s">
        <v>1404</v>
      </c>
      <c r="U128" s="116" t="s">
        <v>92</v>
      </c>
      <c r="V128" s="116" t="s">
        <v>211</v>
      </c>
      <c r="W128" s="116">
        <v>20171231</v>
      </c>
      <c r="X128" s="116">
        <v>20181230</v>
      </c>
      <c r="Y128" s="116"/>
      <c r="Z128" s="116" t="s">
        <v>922</v>
      </c>
      <c r="AA128" s="116" t="s">
        <v>105</v>
      </c>
      <c r="AB128" s="116" t="s">
        <v>923</v>
      </c>
      <c r="AC128" s="116" t="s">
        <v>128</v>
      </c>
      <c r="AD128" s="116">
        <v>2017</v>
      </c>
      <c r="AE128" s="116" t="s">
        <v>96</v>
      </c>
      <c r="AF128" s="116" t="s">
        <v>954</v>
      </c>
      <c r="AG128" s="116" t="s">
        <v>1320</v>
      </c>
      <c r="AH128" s="116" t="s">
        <v>191</v>
      </c>
      <c r="AI128" s="116" t="s">
        <v>162</v>
      </c>
      <c r="AJ128" s="116" t="s">
        <v>1321</v>
      </c>
      <c r="AK128" s="116" t="s">
        <v>128</v>
      </c>
      <c r="AL128" s="116" t="s">
        <v>129</v>
      </c>
      <c r="AM128" s="116" t="s">
        <v>693</v>
      </c>
      <c r="AN128" s="116" t="s">
        <v>694</v>
      </c>
      <c r="AO128" s="120">
        <v>43261</v>
      </c>
      <c r="AP128" s="116" t="s">
        <v>111</v>
      </c>
      <c r="AQ128" s="116">
        <v>33</v>
      </c>
      <c r="AR128" s="121" t="s">
        <v>545</v>
      </c>
      <c r="AS128" s="122">
        <v>43252</v>
      </c>
      <c r="AT128" s="123"/>
      <c r="AU128" s="116"/>
      <c r="AV128" s="124"/>
      <c r="AW128" s="123"/>
      <c r="AX128" s="116" t="s">
        <v>191</v>
      </c>
    </row>
    <row r="129" spans="1:50" ht="15" hidden="1">
      <c r="A129" s="116" t="s">
        <v>1403</v>
      </c>
      <c r="B129" s="116" t="s">
        <v>90</v>
      </c>
      <c r="C129" s="116" t="s">
        <v>91</v>
      </c>
      <c r="D129" s="117">
        <v>0</v>
      </c>
      <c r="E129" s="118">
        <v>2112.31</v>
      </c>
      <c r="F129" s="118">
        <v>0</v>
      </c>
      <c r="G129" s="118">
        <v>0</v>
      </c>
      <c r="H129" s="118">
        <v>8990.76</v>
      </c>
      <c r="I129" s="118">
        <v>1348.61</v>
      </c>
      <c r="J129" s="118">
        <v>0</v>
      </c>
      <c r="K129" s="118">
        <v>0</v>
      </c>
      <c r="L129" s="118">
        <v>0</v>
      </c>
      <c r="M129" s="118">
        <v>0</v>
      </c>
      <c r="N129" s="118">
        <v>10339.370000000001</v>
      </c>
      <c r="O129" s="119">
        <v>0</v>
      </c>
      <c r="P129" s="119">
        <v>0</v>
      </c>
      <c r="Q129" s="119">
        <v>0</v>
      </c>
      <c r="R129" s="119">
        <v>8990.76</v>
      </c>
      <c r="S129" s="119">
        <v>0</v>
      </c>
      <c r="T129" s="116" t="s">
        <v>1408</v>
      </c>
      <c r="U129" s="116" t="s">
        <v>92</v>
      </c>
      <c r="V129" s="116" t="s">
        <v>211</v>
      </c>
      <c r="W129" s="116">
        <v>20171231</v>
      </c>
      <c r="X129" s="116">
        <v>20181230</v>
      </c>
      <c r="Y129" s="116"/>
      <c r="Z129" s="116" t="s">
        <v>922</v>
      </c>
      <c r="AA129" s="116" t="s">
        <v>105</v>
      </c>
      <c r="AB129" s="116" t="s">
        <v>923</v>
      </c>
      <c r="AC129" s="116" t="s">
        <v>106</v>
      </c>
      <c r="AD129" s="116">
        <v>2018</v>
      </c>
      <c r="AE129" s="116" t="s">
        <v>96</v>
      </c>
      <c r="AF129" s="116" t="s">
        <v>289</v>
      </c>
      <c r="AG129" s="116" t="s">
        <v>1857</v>
      </c>
      <c r="AH129" s="116" t="s">
        <v>295</v>
      </c>
      <c r="AI129" s="116" t="s">
        <v>119</v>
      </c>
      <c r="AJ129" s="116" t="s">
        <v>1858</v>
      </c>
      <c r="AK129" s="116" t="s">
        <v>200</v>
      </c>
      <c r="AL129" s="116" t="s">
        <v>129</v>
      </c>
      <c r="AM129" s="116" t="s">
        <v>876</v>
      </c>
      <c r="AN129" s="116" t="s">
        <v>877</v>
      </c>
      <c r="AO129" s="120">
        <v>43262</v>
      </c>
      <c r="AP129" s="116" t="s">
        <v>111</v>
      </c>
      <c r="AQ129" s="116">
        <v>33</v>
      </c>
      <c r="AR129" s="121" t="s">
        <v>545</v>
      </c>
      <c r="AS129" s="122">
        <v>43252</v>
      </c>
      <c r="AT129" s="123"/>
      <c r="AU129" s="116"/>
      <c r="AV129" s="124"/>
      <c r="AW129" s="123"/>
      <c r="AX129" s="116" t="s">
        <v>295</v>
      </c>
    </row>
    <row r="130" spans="1:50" ht="15" hidden="1">
      <c r="A130" s="116" t="s">
        <v>1412</v>
      </c>
      <c r="B130" s="116" t="s">
        <v>90</v>
      </c>
      <c r="C130" s="116" t="s">
        <v>91</v>
      </c>
      <c r="D130" s="117">
        <v>0</v>
      </c>
      <c r="E130" s="118">
        <v>401.01</v>
      </c>
      <c r="F130" s="118">
        <v>0</v>
      </c>
      <c r="G130" s="118">
        <v>0</v>
      </c>
      <c r="H130" s="118">
        <v>0</v>
      </c>
      <c r="I130" s="118">
        <v>1056.43</v>
      </c>
      <c r="J130" s="118">
        <v>0</v>
      </c>
      <c r="K130" s="118">
        <v>-8000</v>
      </c>
      <c r="L130" s="118">
        <v>0</v>
      </c>
      <c r="M130" s="118">
        <v>15042.85</v>
      </c>
      <c r="N130" s="118">
        <v>8099.28</v>
      </c>
      <c r="O130" s="119">
        <v>0</v>
      </c>
      <c r="P130" s="119">
        <v>0</v>
      </c>
      <c r="Q130" s="119">
        <v>0</v>
      </c>
      <c r="R130" s="119">
        <v>0</v>
      </c>
      <c r="S130" s="119">
        <v>0</v>
      </c>
      <c r="T130" s="116" t="s">
        <v>1413</v>
      </c>
      <c r="U130" s="116" t="s">
        <v>92</v>
      </c>
      <c r="V130" s="116" t="s">
        <v>212</v>
      </c>
      <c r="W130" s="116">
        <v>20171231</v>
      </c>
      <c r="X130" s="116">
        <v>20181230</v>
      </c>
      <c r="Y130" s="116"/>
      <c r="Z130" s="116" t="s">
        <v>922</v>
      </c>
      <c r="AA130" s="116" t="s">
        <v>105</v>
      </c>
      <c r="AB130" s="116" t="s">
        <v>923</v>
      </c>
      <c r="AC130" s="116" t="s">
        <v>106</v>
      </c>
      <c r="AD130" s="116">
        <v>2018</v>
      </c>
      <c r="AE130" s="116" t="s">
        <v>96</v>
      </c>
      <c r="AF130" s="116" t="s">
        <v>289</v>
      </c>
      <c r="AG130" s="116" t="s">
        <v>1907</v>
      </c>
      <c r="AH130" s="116" t="s">
        <v>1908</v>
      </c>
      <c r="AI130" s="116" t="s">
        <v>108</v>
      </c>
      <c r="AJ130" s="116" t="s">
        <v>1909</v>
      </c>
      <c r="AK130" s="116" t="s">
        <v>131</v>
      </c>
      <c r="AL130" s="116" t="s">
        <v>129</v>
      </c>
      <c r="AM130" s="116" t="s">
        <v>508</v>
      </c>
      <c r="AN130" s="116" t="s">
        <v>889</v>
      </c>
      <c r="AO130" s="120">
        <v>43262</v>
      </c>
      <c r="AP130" s="116" t="s">
        <v>111</v>
      </c>
      <c r="AQ130" s="116">
        <v>33</v>
      </c>
      <c r="AR130" s="121" t="s">
        <v>545</v>
      </c>
      <c r="AS130" s="122">
        <v>43252</v>
      </c>
      <c r="AT130" s="123"/>
      <c r="AU130" s="116"/>
      <c r="AV130" s="124"/>
      <c r="AW130" s="123"/>
      <c r="AX130" s="116" t="s">
        <v>1908</v>
      </c>
    </row>
    <row r="131" spans="1:50" ht="15" hidden="1">
      <c r="A131" s="116" t="s">
        <v>1417</v>
      </c>
      <c r="B131" s="116" t="s">
        <v>90</v>
      </c>
      <c r="C131" s="116" t="s">
        <v>91</v>
      </c>
      <c r="D131" s="117">
        <v>6805.11</v>
      </c>
      <c r="E131" s="118">
        <v>1663.89</v>
      </c>
      <c r="F131" s="118">
        <v>6805.11</v>
      </c>
      <c r="G131" s="118">
        <v>6805.11</v>
      </c>
      <c r="H131" s="118">
        <v>42498.080000000002</v>
      </c>
      <c r="I131" s="118">
        <v>6374.71</v>
      </c>
      <c r="J131" s="118">
        <v>0</v>
      </c>
      <c r="K131" s="118">
        <v>0</v>
      </c>
      <c r="L131" s="118">
        <v>0</v>
      </c>
      <c r="M131" s="118">
        <v>0</v>
      </c>
      <c r="N131" s="118">
        <v>48872.79</v>
      </c>
      <c r="O131" s="119">
        <v>36104.54</v>
      </c>
      <c r="P131" s="119">
        <v>0</v>
      </c>
      <c r="Q131" s="119">
        <v>0</v>
      </c>
      <c r="R131" s="119">
        <v>6393.54</v>
      </c>
      <c r="S131" s="119">
        <v>0</v>
      </c>
      <c r="T131" s="116" t="s">
        <v>1167</v>
      </c>
      <c r="U131" s="116" t="s">
        <v>92</v>
      </c>
      <c r="V131" s="116" t="s">
        <v>213</v>
      </c>
      <c r="W131" s="116">
        <v>20171231</v>
      </c>
      <c r="X131" s="116">
        <v>20181230</v>
      </c>
      <c r="Y131" s="116"/>
      <c r="Z131" s="116" t="s">
        <v>922</v>
      </c>
      <c r="AA131" s="116" t="s">
        <v>105</v>
      </c>
      <c r="AB131" s="116" t="s">
        <v>923</v>
      </c>
      <c r="AC131" s="116" t="s">
        <v>137</v>
      </c>
      <c r="AD131" s="116">
        <v>2016</v>
      </c>
      <c r="AE131" s="116" t="s">
        <v>96</v>
      </c>
      <c r="AF131" s="116" t="s">
        <v>954</v>
      </c>
      <c r="AG131" s="116" t="s">
        <v>1151</v>
      </c>
      <c r="AH131" s="116" t="s">
        <v>1145</v>
      </c>
      <c r="AI131" s="116" t="s">
        <v>108</v>
      </c>
      <c r="AJ131" s="116" t="s">
        <v>1152</v>
      </c>
      <c r="AK131" s="116" t="s">
        <v>137</v>
      </c>
      <c r="AL131" s="116" t="s">
        <v>129</v>
      </c>
      <c r="AM131" s="116" t="s">
        <v>462</v>
      </c>
      <c r="AN131" s="116" t="s">
        <v>628</v>
      </c>
      <c r="AO131" s="120">
        <v>43263</v>
      </c>
      <c r="AP131" s="116" t="s">
        <v>111</v>
      </c>
      <c r="AQ131" s="116">
        <v>33</v>
      </c>
      <c r="AR131" s="121" t="s">
        <v>554</v>
      </c>
      <c r="AS131" s="122">
        <v>43252</v>
      </c>
      <c r="AT131" s="123"/>
      <c r="AU131" s="116"/>
      <c r="AV131" s="124"/>
      <c r="AW131" s="123"/>
      <c r="AX131" s="116" t="s">
        <v>1145</v>
      </c>
    </row>
    <row r="132" spans="1:50" ht="15" hidden="1">
      <c r="A132" s="116" t="s">
        <v>1417</v>
      </c>
      <c r="B132" s="116" t="s">
        <v>90</v>
      </c>
      <c r="C132" s="116" t="s">
        <v>91</v>
      </c>
      <c r="D132" s="117">
        <v>0</v>
      </c>
      <c r="E132" s="118">
        <v>1140.42</v>
      </c>
      <c r="F132" s="118">
        <v>0</v>
      </c>
      <c r="G132" s="118">
        <v>0</v>
      </c>
      <c r="H132" s="118">
        <v>2800</v>
      </c>
      <c r="I132" s="118">
        <v>3214.35</v>
      </c>
      <c r="J132" s="118">
        <v>0</v>
      </c>
      <c r="K132" s="118">
        <v>0</v>
      </c>
      <c r="L132" s="118">
        <v>0</v>
      </c>
      <c r="M132" s="118">
        <v>18629</v>
      </c>
      <c r="N132" s="118">
        <v>24643.35</v>
      </c>
      <c r="O132" s="119">
        <v>0</v>
      </c>
      <c r="P132" s="119">
        <v>0</v>
      </c>
      <c r="Q132" s="119">
        <v>0</v>
      </c>
      <c r="R132" s="119">
        <v>2800</v>
      </c>
      <c r="S132" s="119">
        <v>0</v>
      </c>
      <c r="T132" s="116" t="s">
        <v>1420</v>
      </c>
      <c r="U132" s="116" t="s">
        <v>92</v>
      </c>
      <c r="V132" s="116" t="s">
        <v>213</v>
      </c>
      <c r="W132" s="116">
        <v>20171231</v>
      </c>
      <c r="X132" s="116">
        <v>20181230</v>
      </c>
      <c r="Y132" s="116"/>
      <c r="Z132" s="116" t="s">
        <v>922</v>
      </c>
      <c r="AA132" s="116" t="s">
        <v>105</v>
      </c>
      <c r="AB132" s="116" t="s">
        <v>923</v>
      </c>
      <c r="AC132" s="116" t="s">
        <v>168</v>
      </c>
      <c r="AD132" s="116">
        <v>2017</v>
      </c>
      <c r="AE132" s="116" t="s">
        <v>96</v>
      </c>
      <c r="AF132" s="116" t="s">
        <v>954</v>
      </c>
      <c r="AG132" s="116" t="s">
        <v>1679</v>
      </c>
      <c r="AH132" s="116"/>
      <c r="AI132" s="116" t="s">
        <v>162</v>
      </c>
      <c r="AJ132" s="116" t="s">
        <v>1680</v>
      </c>
      <c r="AK132" s="116" t="s">
        <v>168</v>
      </c>
      <c r="AL132" s="116" t="s">
        <v>129</v>
      </c>
      <c r="AM132" s="116" t="s">
        <v>817</v>
      </c>
      <c r="AN132" s="116" t="s">
        <v>818</v>
      </c>
      <c r="AO132" s="120">
        <v>43263</v>
      </c>
      <c r="AP132" s="116" t="s">
        <v>111</v>
      </c>
      <c r="AQ132" s="116">
        <v>33</v>
      </c>
      <c r="AR132" s="125"/>
      <c r="AS132" s="122">
        <v>43252</v>
      </c>
      <c r="AT132" s="123"/>
      <c r="AU132" s="116"/>
      <c r="AV132" s="124"/>
      <c r="AW132" s="123"/>
      <c r="AX132" s="116"/>
    </row>
    <row r="133" spans="1:50" ht="15" hidden="1">
      <c r="A133" s="116" t="s">
        <v>1424</v>
      </c>
      <c r="B133" s="116" t="s">
        <v>90</v>
      </c>
      <c r="C133" s="116" t="s">
        <v>91</v>
      </c>
      <c r="D133" s="117">
        <v>0</v>
      </c>
      <c r="E133" s="118">
        <v>1302.67</v>
      </c>
      <c r="F133" s="118">
        <v>0</v>
      </c>
      <c r="G133" s="118">
        <v>0</v>
      </c>
      <c r="H133" s="118">
        <v>4859.8900000000003</v>
      </c>
      <c r="I133" s="118">
        <v>-471.02</v>
      </c>
      <c r="J133" s="118">
        <v>0</v>
      </c>
      <c r="K133" s="118">
        <v>-8000</v>
      </c>
      <c r="L133" s="118">
        <v>0</v>
      </c>
      <c r="M133" s="118">
        <v>0</v>
      </c>
      <c r="N133" s="118">
        <v>-3611.13</v>
      </c>
      <c r="O133" s="119">
        <v>4859.8900000000003</v>
      </c>
      <c r="P133" s="119">
        <v>0</v>
      </c>
      <c r="Q133" s="119">
        <v>0</v>
      </c>
      <c r="R133" s="119">
        <v>0</v>
      </c>
      <c r="S133" s="119">
        <v>0</v>
      </c>
      <c r="T133" s="116" t="s">
        <v>1051</v>
      </c>
      <c r="U133" s="116" t="s">
        <v>92</v>
      </c>
      <c r="V133" s="116" t="s">
        <v>214</v>
      </c>
      <c r="W133" s="116">
        <v>20171231</v>
      </c>
      <c r="X133" s="116">
        <v>20181230</v>
      </c>
      <c r="Y133" s="116"/>
      <c r="Z133" s="116" t="s">
        <v>922</v>
      </c>
      <c r="AA133" s="116" t="s">
        <v>105</v>
      </c>
      <c r="AB133" s="116" t="s">
        <v>923</v>
      </c>
      <c r="AC133" s="116" t="s">
        <v>112</v>
      </c>
      <c r="AD133" s="116">
        <v>2018</v>
      </c>
      <c r="AE133" s="116" t="s">
        <v>96</v>
      </c>
      <c r="AF133" s="116" t="s">
        <v>289</v>
      </c>
      <c r="AG133" s="116" t="s">
        <v>1817</v>
      </c>
      <c r="AH133" s="116"/>
      <c r="AI133" s="116" t="s">
        <v>162</v>
      </c>
      <c r="AJ133" s="116" t="s">
        <v>129</v>
      </c>
      <c r="AK133" s="116" t="s">
        <v>551</v>
      </c>
      <c r="AL133" s="116" t="s">
        <v>129</v>
      </c>
      <c r="AM133" s="116" t="s">
        <v>861</v>
      </c>
      <c r="AN133" s="116" t="s">
        <v>862</v>
      </c>
      <c r="AO133" s="120">
        <v>43264</v>
      </c>
      <c r="AP133" s="116" t="s">
        <v>111</v>
      </c>
      <c r="AQ133" s="116">
        <v>33</v>
      </c>
      <c r="AR133" s="125"/>
      <c r="AS133" s="122">
        <v>43252</v>
      </c>
      <c r="AT133" s="123"/>
      <c r="AU133" s="116"/>
      <c r="AV133" s="124"/>
      <c r="AW133" s="123"/>
      <c r="AX133" s="116"/>
    </row>
    <row r="134" spans="1:50" ht="15" hidden="1">
      <c r="A134" s="116" t="s">
        <v>1427</v>
      </c>
      <c r="B134" s="116" t="s">
        <v>90</v>
      </c>
      <c r="C134" s="116" t="s">
        <v>91</v>
      </c>
      <c r="D134" s="117">
        <v>0</v>
      </c>
      <c r="E134" s="118">
        <v>3582.05</v>
      </c>
      <c r="F134" s="118">
        <v>0</v>
      </c>
      <c r="G134" s="118">
        <v>0</v>
      </c>
      <c r="H134" s="118">
        <v>12534.5</v>
      </c>
      <c r="I134" s="118">
        <v>307.85000000000002</v>
      </c>
      <c r="J134" s="118">
        <v>0</v>
      </c>
      <c r="K134" s="118">
        <v>-15658</v>
      </c>
      <c r="L134" s="118">
        <v>0</v>
      </c>
      <c r="M134" s="118">
        <v>5175.8100000000004</v>
      </c>
      <c r="N134" s="118">
        <v>2360.16</v>
      </c>
      <c r="O134" s="119">
        <v>12534.5</v>
      </c>
      <c r="P134" s="119">
        <v>0</v>
      </c>
      <c r="Q134" s="119">
        <v>0</v>
      </c>
      <c r="R134" s="119">
        <v>0</v>
      </c>
      <c r="S134" s="119">
        <v>0</v>
      </c>
      <c r="T134" s="116" t="s">
        <v>1347</v>
      </c>
      <c r="U134" s="116" t="s">
        <v>92</v>
      </c>
      <c r="V134" s="116" t="s">
        <v>215</v>
      </c>
      <c r="W134" s="116">
        <v>20171231</v>
      </c>
      <c r="X134" s="116">
        <v>20181230</v>
      </c>
      <c r="Y134" s="116"/>
      <c r="Z134" s="116" t="s">
        <v>922</v>
      </c>
      <c r="AA134" s="116" t="s">
        <v>105</v>
      </c>
      <c r="AB134" s="116" t="s">
        <v>923</v>
      </c>
      <c r="AC134" s="116" t="s">
        <v>106</v>
      </c>
      <c r="AD134" s="116">
        <v>2017</v>
      </c>
      <c r="AE134" s="116" t="s">
        <v>96</v>
      </c>
      <c r="AF134" s="116" t="s">
        <v>954</v>
      </c>
      <c r="AG134" s="116" t="s">
        <v>1643</v>
      </c>
      <c r="AH134" s="116" t="s">
        <v>1640</v>
      </c>
      <c r="AI134" s="116" t="s">
        <v>119</v>
      </c>
      <c r="AJ134" s="116" t="s">
        <v>1644</v>
      </c>
      <c r="AK134" s="116" t="s">
        <v>106</v>
      </c>
      <c r="AL134" s="116" t="s">
        <v>129</v>
      </c>
      <c r="AM134" s="116" t="s">
        <v>764</v>
      </c>
      <c r="AN134" s="116" t="s">
        <v>802</v>
      </c>
      <c r="AO134" s="120">
        <v>43265</v>
      </c>
      <c r="AP134" s="116" t="s">
        <v>111</v>
      </c>
      <c r="AQ134" s="116">
        <v>33</v>
      </c>
      <c r="AR134" s="121" t="s">
        <v>545</v>
      </c>
      <c r="AS134" s="122">
        <v>43252</v>
      </c>
      <c r="AT134" s="123"/>
      <c r="AU134" s="116"/>
      <c r="AV134" s="124"/>
      <c r="AW134" s="123"/>
      <c r="AX134" s="116" t="s">
        <v>1640</v>
      </c>
    </row>
    <row r="135" spans="1:50" ht="15" hidden="1">
      <c r="A135" s="116" t="s">
        <v>1431</v>
      </c>
      <c r="B135" s="116" t="s">
        <v>90</v>
      </c>
      <c r="C135" s="116" t="s">
        <v>91</v>
      </c>
      <c r="D135" s="117">
        <v>0</v>
      </c>
      <c r="E135" s="118">
        <v>1232.27</v>
      </c>
      <c r="F135" s="118">
        <v>7602.47</v>
      </c>
      <c r="G135" s="118">
        <v>7602.47</v>
      </c>
      <c r="H135" s="118">
        <v>9505.0499999999993</v>
      </c>
      <c r="I135" s="118">
        <v>600.76</v>
      </c>
      <c r="J135" s="118">
        <v>0</v>
      </c>
      <c r="K135" s="118">
        <v>-5500</v>
      </c>
      <c r="L135" s="118">
        <v>0</v>
      </c>
      <c r="M135" s="118">
        <v>0</v>
      </c>
      <c r="N135" s="118">
        <v>4605.8100000000004</v>
      </c>
      <c r="O135" s="119">
        <v>9505.0499999999993</v>
      </c>
      <c r="P135" s="119">
        <v>0</v>
      </c>
      <c r="Q135" s="119">
        <v>0</v>
      </c>
      <c r="R135" s="119">
        <v>0</v>
      </c>
      <c r="S135" s="119">
        <v>0</v>
      </c>
      <c r="T135" s="116" t="s">
        <v>1261</v>
      </c>
      <c r="U135" s="116" t="s">
        <v>92</v>
      </c>
      <c r="V135" s="116" t="s">
        <v>216</v>
      </c>
      <c r="W135" s="116">
        <v>20171231</v>
      </c>
      <c r="X135" s="116">
        <v>20181230</v>
      </c>
      <c r="Y135" s="116"/>
      <c r="Z135" s="116" t="s">
        <v>922</v>
      </c>
      <c r="AA135" s="116" t="s">
        <v>105</v>
      </c>
      <c r="AB135" s="116" t="s">
        <v>923</v>
      </c>
      <c r="AC135" s="116" t="s">
        <v>106</v>
      </c>
      <c r="AD135" s="116">
        <v>2018</v>
      </c>
      <c r="AE135" s="116" t="s">
        <v>96</v>
      </c>
      <c r="AF135" s="116" t="s">
        <v>289</v>
      </c>
      <c r="AG135" s="116" t="s">
        <v>1928</v>
      </c>
      <c r="AH135" s="116" t="s">
        <v>1929</v>
      </c>
      <c r="AI135" s="116" t="s">
        <v>162</v>
      </c>
      <c r="AJ135" s="116" t="s">
        <v>1930</v>
      </c>
      <c r="AK135" s="116" t="s">
        <v>106</v>
      </c>
      <c r="AL135" s="116" t="s">
        <v>129</v>
      </c>
      <c r="AM135" s="116" t="s">
        <v>496</v>
      </c>
      <c r="AN135" s="116" t="s">
        <v>893</v>
      </c>
      <c r="AO135" s="120">
        <v>43270</v>
      </c>
      <c r="AP135" s="116" t="s">
        <v>111</v>
      </c>
      <c r="AQ135" s="116">
        <v>33</v>
      </c>
      <c r="AR135" s="121" t="s">
        <v>545</v>
      </c>
      <c r="AS135" s="122">
        <v>43252</v>
      </c>
      <c r="AT135" s="123"/>
      <c r="AU135" s="116"/>
      <c r="AV135" s="124"/>
      <c r="AW135" s="123"/>
      <c r="AX135" s="116" t="s">
        <v>1929</v>
      </c>
    </row>
    <row r="136" spans="1:50" ht="15" hidden="1">
      <c r="A136" s="116" t="s">
        <v>1431</v>
      </c>
      <c r="B136" s="116" t="s">
        <v>90</v>
      </c>
      <c r="C136" s="116" t="s">
        <v>91</v>
      </c>
      <c r="D136" s="117">
        <v>0</v>
      </c>
      <c r="E136" s="118">
        <v>1274.04</v>
      </c>
      <c r="F136" s="118">
        <v>0</v>
      </c>
      <c r="G136" s="118">
        <v>0</v>
      </c>
      <c r="H136" s="118">
        <v>15658</v>
      </c>
      <c r="I136" s="118">
        <v>2808.7</v>
      </c>
      <c r="J136" s="118">
        <v>0</v>
      </c>
      <c r="K136" s="118">
        <v>0</v>
      </c>
      <c r="L136" s="118">
        <v>0</v>
      </c>
      <c r="M136" s="118">
        <v>0</v>
      </c>
      <c r="N136" s="118">
        <v>18466.7</v>
      </c>
      <c r="O136" s="119">
        <v>0</v>
      </c>
      <c r="P136" s="119">
        <v>0</v>
      </c>
      <c r="Q136" s="119">
        <v>0</v>
      </c>
      <c r="R136" s="119">
        <v>15658</v>
      </c>
      <c r="S136" s="119">
        <v>0</v>
      </c>
      <c r="T136" s="116" t="s">
        <v>1435</v>
      </c>
      <c r="U136" s="116" t="s">
        <v>92</v>
      </c>
      <c r="V136" s="116" t="s">
        <v>216</v>
      </c>
      <c r="W136" s="116">
        <v>20171231</v>
      </c>
      <c r="X136" s="116">
        <v>20181230</v>
      </c>
      <c r="Y136" s="116"/>
      <c r="Z136" s="116" t="s">
        <v>922</v>
      </c>
      <c r="AA136" s="116" t="s">
        <v>105</v>
      </c>
      <c r="AB136" s="116" t="s">
        <v>923</v>
      </c>
      <c r="AC136" s="116" t="s">
        <v>106</v>
      </c>
      <c r="AD136" s="116">
        <v>2018</v>
      </c>
      <c r="AE136" s="116" t="s">
        <v>96</v>
      </c>
      <c r="AF136" s="116" t="s">
        <v>289</v>
      </c>
      <c r="AG136" s="116" t="s">
        <v>1947</v>
      </c>
      <c r="AH136" s="116" t="s">
        <v>1948</v>
      </c>
      <c r="AI136" s="116" t="s">
        <v>162</v>
      </c>
      <c r="AJ136" s="116" t="s">
        <v>1949</v>
      </c>
      <c r="AK136" s="116" t="s">
        <v>137</v>
      </c>
      <c r="AL136" s="116" t="s">
        <v>425</v>
      </c>
      <c r="AM136" s="116" t="s">
        <v>466</v>
      </c>
      <c r="AN136" s="116" t="s">
        <v>900</v>
      </c>
      <c r="AO136" s="120">
        <v>43270</v>
      </c>
      <c r="AP136" s="116" t="s">
        <v>111</v>
      </c>
      <c r="AQ136" s="116">
        <v>33</v>
      </c>
      <c r="AR136" s="125"/>
      <c r="AS136" s="122">
        <v>43252</v>
      </c>
      <c r="AT136" s="123"/>
      <c r="AU136" s="116"/>
      <c r="AV136" s="124"/>
      <c r="AW136" s="123"/>
      <c r="AX136" s="116" t="s">
        <v>1948</v>
      </c>
    </row>
    <row r="137" spans="1:50" ht="15" hidden="1">
      <c r="A137" s="116" t="s">
        <v>1439</v>
      </c>
      <c r="B137" s="116" t="s">
        <v>90</v>
      </c>
      <c r="C137" s="116" t="s">
        <v>91</v>
      </c>
      <c r="D137" s="117">
        <v>0</v>
      </c>
      <c r="E137" s="118">
        <v>3161.22</v>
      </c>
      <c r="F137" s="118">
        <v>0</v>
      </c>
      <c r="G137" s="118">
        <v>0</v>
      </c>
      <c r="H137" s="118">
        <v>2107.81</v>
      </c>
      <c r="I137" s="118">
        <v>-2032.53</v>
      </c>
      <c r="J137" s="118">
        <v>0</v>
      </c>
      <c r="K137" s="118">
        <v>-15658</v>
      </c>
      <c r="L137" s="118">
        <v>0</v>
      </c>
      <c r="M137" s="118">
        <v>0</v>
      </c>
      <c r="N137" s="118">
        <v>-15582.72</v>
      </c>
      <c r="O137" s="119">
        <v>2107.81</v>
      </c>
      <c r="P137" s="119">
        <v>0</v>
      </c>
      <c r="Q137" s="119">
        <v>0</v>
      </c>
      <c r="R137" s="119">
        <v>0</v>
      </c>
      <c r="S137" s="119">
        <v>0</v>
      </c>
      <c r="T137" s="116" t="s">
        <v>1440</v>
      </c>
      <c r="U137" s="116" t="s">
        <v>92</v>
      </c>
      <c r="V137" s="116" t="s">
        <v>217</v>
      </c>
      <c r="W137" s="116">
        <v>20171231</v>
      </c>
      <c r="X137" s="116">
        <v>20181230</v>
      </c>
      <c r="Y137" s="116"/>
      <c r="Z137" s="116" t="s">
        <v>922</v>
      </c>
      <c r="AA137" s="116" t="s">
        <v>105</v>
      </c>
      <c r="AB137" s="116" t="s">
        <v>1210</v>
      </c>
      <c r="AC137" s="116" t="s">
        <v>106</v>
      </c>
      <c r="AD137" s="116">
        <v>2016</v>
      </c>
      <c r="AE137" s="116" t="s">
        <v>96</v>
      </c>
      <c r="AF137" s="116" t="s">
        <v>1211</v>
      </c>
      <c r="AG137" s="116" t="s">
        <v>1237</v>
      </c>
      <c r="AH137" s="116" t="s">
        <v>1238</v>
      </c>
      <c r="AI137" s="116" t="s">
        <v>108</v>
      </c>
      <c r="AJ137" s="116" t="s">
        <v>1239</v>
      </c>
      <c r="AK137" s="116" t="s">
        <v>106</v>
      </c>
      <c r="AL137" s="116" t="s">
        <v>129</v>
      </c>
      <c r="AM137" s="116" t="s">
        <v>659</v>
      </c>
      <c r="AN137" s="116" t="s">
        <v>660</v>
      </c>
      <c r="AO137" s="120">
        <v>43273</v>
      </c>
      <c r="AP137" s="116" t="s">
        <v>111</v>
      </c>
      <c r="AQ137" s="116">
        <v>33</v>
      </c>
      <c r="AR137" s="121" t="s">
        <v>545</v>
      </c>
      <c r="AS137" s="122">
        <v>43252</v>
      </c>
      <c r="AT137" s="123"/>
      <c r="AU137" s="116"/>
      <c r="AV137" s="124"/>
      <c r="AW137" s="123"/>
      <c r="AX137" s="116" t="s">
        <v>1238</v>
      </c>
    </row>
    <row r="138" spans="1:50" ht="15" hidden="1">
      <c r="A138" s="116" t="s">
        <v>1443</v>
      </c>
      <c r="B138" s="116" t="s">
        <v>90</v>
      </c>
      <c r="C138" s="116" t="s">
        <v>91</v>
      </c>
      <c r="D138" s="117">
        <v>0</v>
      </c>
      <c r="E138" s="118">
        <v>829.85</v>
      </c>
      <c r="F138" s="118">
        <v>0</v>
      </c>
      <c r="G138" s="118">
        <v>0</v>
      </c>
      <c r="H138" s="118">
        <v>0</v>
      </c>
      <c r="I138" s="118">
        <v>-1788.45</v>
      </c>
      <c r="J138" s="118">
        <v>0</v>
      </c>
      <c r="K138" s="118">
        <v>-15658</v>
      </c>
      <c r="L138" s="118">
        <v>0</v>
      </c>
      <c r="M138" s="118">
        <v>3735</v>
      </c>
      <c r="N138" s="118">
        <v>-13711.45</v>
      </c>
      <c r="O138" s="119">
        <v>0</v>
      </c>
      <c r="P138" s="119">
        <v>0</v>
      </c>
      <c r="Q138" s="119">
        <v>0</v>
      </c>
      <c r="R138" s="119">
        <v>0</v>
      </c>
      <c r="S138" s="119">
        <v>0</v>
      </c>
      <c r="T138" s="116" t="s">
        <v>1413</v>
      </c>
      <c r="U138" s="116" t="s">
        <v>92</v>
      </c>
      <c r="V138" s="116" t="s">
        <v>218</v>
      </c>
      <c r="W138" s="116">
        <v>20171231</v>
      </c>
      <c r="X138" s="116">
        <v>20181230</v>
      </c>
      <c r="Y138" s="116"/>
      <c r="Z138" s="116" t="s">
        <v>922</v>
      </c>
      <c r="AA138" s="116" t="s">
        <v>105</v>
      </c>
      <c r="AB138" s="116" t="s">
        <v>923</v>
      </c>
      <c r="AC138" s="116" t="s">
        <v>144</v>
      </c>
      <c r="AD138" s="116">
        <v>2017</v>
      </c>
      <c r="AE138" s="116" t="s">
        <v>96</v>
      </c>
      <c r="AF138" s="116" t="s">
        <v>954</v>
      </c>
      <c r="AG138" s="116" t="s">
        <v>1396</v>
      </c>
      <c r="AH138" s="116" t="s">
        <v>1397</v>
      </c>
      <c r="AI138" s="116" t="s">
        <v>162</v>
      </c>
      <c r="AJ138" s="116" t="s">
        <v>1398</v>
      </c>
      <c r="AK138" s="116" t="s">
        <v>642</v>
      </c>
      <c r="AL138" s="116" t="s">
        <v>129</v>
      </c>
      <c r="AM138" s="116" t="s">
        <v>725</v>
      </c>
      <c r="AN138" s="116" t="s">
        <v>726</v>
      </c>
      <c r="AO138" s="120">
        <v>43277</v>
      </c>
      <c r="AP138" s="116" t="s">
        <v>111</v>
      </c>
      <c r="AQ138" s="116">
        <v>33</v>
      </c>
      <c r="AR138" s="121" t="s">
        <v>545</v>
      </c>
      <c r="AS138" s="122">
        <v>43252</v>
      </c>
      <c r="AT138" s="123"/>
      <c r="AU138" s="116"/>
      <c r="AV138" s="124"/>
      <c r="AW138" s="123"/>
      <c r="AX138" s="116" t="s">
        <v>1397</v>
      </c>
    </row>
    <row r="139" spans="1:50" ht="15" hidden="1">
      <c r="A139" s="116" t="s">
        <v>1446</v>
      </c>
      <c r="B139" s="116" t="s">
        <v>90</v>
      </c>
      <c r="C139" s="116" t="s">
        <v>91</v>
      </c>
      <c r="D139" s="117">
        <v>0</v>
      </c>
      <c r="E139" s="118">
        <v>2166.4</v>
      </c>
      <c r="F139" s="118">
        <v>0</v>
      </c>
      <c r="G139" s="118">
        <v>0</v>
      </c>
      <c r="H139" s="118">
        <v>10499.56</v>
      </c>
      <c r="I139" s="118">
        <v>1296.25</v>
      </c>
      <c r="J139" s="118">
        <v>0</v>
      </c>
      <c r="K139" s="118">
        <v>-11795.81</v>
      </c>
      <c r="L139" s="118">
        <v>0</v>
      </c>
      <c r="M139" s="118">
        <v>0</v>
      </c>
      <c r="N139" s="118">
        <v>0</v>
      </c>
      <c r="O139" s="119">
        <v>10499.56</v>
      </c>
      <c r="P139" s="119">
        <v>0</v>
      </c>
      <c r="Q139" s="119">
        <v>0</v>
      </c>
      <c r="R139" s="119">
        <v>0</v>
      </c>
      <c r="S139" s="119">
        <v>0</v>
      </c>
      <c r="T139" s="116" t="s">
        <v>1447</v>
      </c>
      <c r="U139" s="116" t="s">
        <v>92</v>
      </c>
      <c r="V139" s="116" t="s">
        <v>221</v>
      </c>
      <c r="W139" s="116">
        <v>20171231</v>
      </c>
      <c r="X139" s="116">
        <v>20181230</v>
      </c>
      <c r="Y139" s="116"/>
      <c r="Z139" s="116" t="s">
        <v>922</v>
      </c>
      <c r="AA139" s="116" t="s">
        <v>105</v>
      </c>
      <c r="AB139" s="116" t="s">
        <v>923</v>
      </c>
      <c r="AC139" s="116" t="s">
        <v>106</v>
      </c>
      <c r="AD139" s="116">
        <v>2018</v>
      </c>
      <c r="AE139" s="116" t="s">
        <v>96</v>
      </c>
      <c r="AF139" s="116" t="s">
        <v>289</v>
      </c>
      <c r="AG139" s="116" t="s">
        <v>1809</v>
      </c>
      <c r="AH139" s="116"/>
      <c r="AI139" s="116" t="s">
        <v>162</v>
      </c>
      <c r="AJ139" s="116" t="s">
        <v>1810</v>
      </c>
      <c r="AK139" s="116" t="s">
        <v>106</v>
      </c>
      <c r="AL139" s="116" t="s">
        <v>129</v>
      </c>
      <c r="AM139" s="116" t="s">
        <v>729</v>
      </c>
      <c r="AN139" s="116" t="s">
        <v>858</v>
      </c>
      <c r="AO139" s="120">
        <v>43277</v>
      </c>
      <c r="AP139" s="116" t="s">
        <v>111</v>
      </c>
      <c r="AQ139" s="116">
        <v>33</v>
      </c>
      <c r="AR139" s="125"/>
      <c r="AS139" s="122">
        <v>43252</v>
      </c>
      <c r="AT139" s="123"/>
      <c r="AU139" s="116"/>
      <c r="AV139" s="124"/>
      <c r="AW139" s="123"/>
      <c r="AX139" s="116"/>
    </row>
    <row r="140" spans="1:50" ht="15" hidden="1">
      <c r="A140" s="116" t="s">
        <v>1446</v>
      </c>
      <c r="B140" s="116" t="s">
        <v>90</v>
      </c>
      <c r="C140" s="116" t="s">
        <v>91</v>
      </c>
      <c r="D140" s="117">
        <v>0</v>
      </c>
      <c r="E140" s="118">
        <v>424.78</v>
      </c>
      <c r="F140" s="118">
        <v>0</v>
      </c>
      <c r="G140" s="118">
        <v>0</v>
      </c>
      <c r="H140" s="118">
        <v>4333.3999999999996</v>
      </c>
      <c r="I140" s="118">
        <v>-1248.69</v>
      </c>
      <c r="J140" s="118">
        <v>0</v>
      </c>
      <c r="K140" s="118">
        <v>-15658</v>
      </c>
      <c r="L140" s="118">
        <v>0</v>
      </c>
      <c r="M140" s="118">
        <v>3000</v>
      </c>
      <c r="N140" s="118">
        <v>-9573.2900000000009</v>
      </c>
      <c r="O140" s="119">
        <v>4333.3999999999996</v>
      </c>
      <c r="P140" s="119">
        <v>0</v>
      </c>
      <c r="Q140" s="119">
        <v>0</v>
      </c>
      <c r="R140" s="119">
        <v>0</v>
      </c>
      <c r="S140" s="119">
        <v>0</v>
      </c>
      <c r="T140" s="116" t="s">
        <v>1124</v>
      </c>
      <c r="U140" s="116" t="s">
        <v>92</v>
      </c>
      <c r="V140" s="116" t="s">
        <v>221</v>
      </c>
      <c r="W140" s="116">
        <v>20171231</v>
      </c>
      <c r="X140" s="116">
        <v>20181230</v>
      </c>
      <c r="Y140" s="116"/>
      <c r="Z140" s="116" t="s">
        <v>922</v>
      </c>
      <c r="AA140" s="116" t="s">
        <v>105</v>
      </c>
      <c r="AB140" s="116" t="s">
        <v>923</v>
      </c>
      <c r="AC140" s="116" t="s">
        <v>106</v>
      </c>
      <c r="AD140" s="116">
        <v>2018</v>
      </c>
      <c r="AE140" s="116" t="s">
        <v>96</v>
      </c>
      <c r="AF140" s="116" t="s">
        <v>289</v>
      </c>
      <c r="AG140" s="116" t="s">
        <v>1874</v>
      </c>
      <c r="AH140" s="116"/>
      <c r="AI140" s="116" t="s">
        <v>119</v>
      </c>
      <c r="AJ140" s="116" t="s">
        <v>1875</v>
      </c>
      <c r="AK140" s="116" t="s">
        <v>551</v>
      </c>
      <c r="AL140" s="116" t="s">
        <v>129</v>
      </c>
      <c r="AM140" s="116" t="s">
        <v>882</v>
      </c>
      <c r="AN140" s="116" t="s">
        <v>883</v>
      </c>
      <c r="AO140" s="120">
        <v>43277</v>
      </c>
      <c r="AP140" s="116" t="s">
        <v>111</v>
      </c>
      <c r="AQ140" s="116">
        <v>33</v>
      </c>
      <c r="AR140" s="125"/>
      <c r="AS140" s="122">
        <v>43252</v>
      </c>
      <c r="AT140" s="123"/>
      <c r="AU140" s="116"/>
      <c r="AV140" s="124"/>
      <c r="AW140" s="123"/>
      <c r="AX140" s="116"/>
    </row>
    <row r="141" spans="1:50" ht="15" hidden="1">
      <c r="A141" s="116" t="s">
        <v>1446</v>
      </c>
      <c r="B141" s="116" t="s">
        <v>90</v>
      </c>
      <c r="C141" s="116" t="s">
        <v>91</v>
      </c>
      <c r="D141" s="117">
        <v>0</v>
      </c>
      <c r="E141" s="118">
        <v>0</v>
      </c>
      <c r="F141" s="118">
        <v>0</v>
      </c>
      <c r="G141" s="118">
        <v>0</v>
      </c>
      <c r="H141" s="118">
        <v>4434.76</v>
      </c>
      <c r="I141" s="118">
        <v>665.21</v>
      </c>
      <c r="J141" s="118">
        <v>0</v>
      </c>
      <c r="K141" s="118">
        <v>0</v>
      </c>
      <c r="L141" s="118">
        <v>0</v>
      </c>
      <c r="M141" s="118">
        <v>0</v>
      </c>
      <c r="N141" s="118">
        <v>5099.97</v>
      </c>
      <c r="O141" s="119">
        <v>4434.76</v>
      </c>
      <c r="P141" s="119">
        <v>0</v>
      </c>
      <c r="Q141" s="119">
        <v>0</v>
      </c>
      <c r="R141" s="119">
        <v>0</v>
      </c>
      <c r="S141" s="119">
        <v>0</v>
      </c>
      <c r="T141" s="116" t="s">
        <v>1453</v>
      </c>
      <c r="U141" s="116" t="s">
        <v>92</v>
      </c>
      <c r="V141" s="116" t="s">
        <v>221</v>
      </c>
      <c r="W141" s="116">
        <v>20171231</v>
      </c>
      <c r="X141" s="116">
        <v>20181230</v>
      </c>
      <c r="Y141" s="116"/>
      <c r="Z141" s="116" t="s">
        <v>922</v>
      </c>
      <c r="AA141" s="116" t="s">
        <v>105</v>
      </c>
      <c r="AB141" s="116" t="s">
        <v>923</v>
      </c>
      <c r="AC141" s="116" t="s">
        <v>112</v>
      </c>
      <c r="AD141" s="116">
        <v>2016</v>
      </c>
      <c r="AE141" s="116" t="s">
        <v>96</v>
      </c>
      <c r="AF141" s="116" t="s">
        <v>954</v>
      </c>
      <c r="AG141" s="116" t="s">
        <v>1100</v>
      </c>
      <c r="AH141" s="116" t="s">
        <v>1101</v>
      </c>
      <c r="AI141" s="116" t="s">
        <v>162</v>
      </c>
      <c r="AJ141" s="116" t="s">
        <v>1102</v>
      </c>
      <c r="AK141" s="116" t="s">
        <v>112</v>
      </c>
      <c r="AL141" s="116" t="s">
        <v>129</v>
      </c>
      <c r="AM141" s="116" t="s">
        <v>607</v>
      </c>
      <c r="AN141" s="116" t="s">
        <v>608</v>
      </c>
      <c r="AO141" s="120">
        <v>43279</v>
      </c>
      <c r="AP141" s="116" t="s">
        <v>111</v>
      </c>
      <c r="AQ141" s="116">
        <v>33</v>
      </c>
      <c r="AR141" s="125"/>
      <c r="AS141" s="122">
        <v>43252</v>
      </c>
      <c r="AT141" s="123"/>
      <c r="AU141" s="116"/>
      <c r="AV141" s="124"/>
      <c r="AW141" s="123"/>
      <c r="AX141" s="116" t="s">
        <v>1101</v>
      </c>
    </row>
    <row r="142" spans="1:50" ht="15" hidden="1">
      <c r="A142" s="116" t="s">
        <v>1456</v>
      </c>
      <c r="B142" s="116" t="s">
        <v>90</v>
      </c>
      <c r="C142" s="116" t="s">
        <v>91</v>
      </c>
      <c r="D142" s="117">
        <v>0</v>
      </c>
      <c r="E142" s="118">
        <v>1374.48</v>
      </c>
      <c r="F142" s="118">
        <v>8479.7999999999993</v>
      </c>
      <c r="G142" s="118">
        <v>8479.7999999999993</v>
      </c>
      <c r="H142" s="118">
        <v>3042</v>
      </c>
      <c r="I142" s="118">
        <v>456.3</v>
      </c>
      <c r="J142" s="118">
        <v>0</v>
      </c>
      <c r="K142" s="118">
        <v>0</v>
      </c>
      <c r="L142" s="118">
        <v>0</v>
      </c>
      <c r="M142" s="118">
        <v>0</v>
      </c>
      <c r="N142" s="118">
        <v>3498.3</v>
      </c>
      <c r="O142" s="119">
        <v>0</v>
      </c>
      <c r="P142" s="119">
        <v>0</v>
      </c>
      <c r="Q142" s="119">
        <v>0</v>
      </c>
      <c r="R142" s="119">
        <v>3042</v>
      </c>
      <c r="S142" s="119">
        <v>0</v>
      </c>
      <c r="T142" s="116" t="s">
        <v>1457</v>
      </c>
      <c r="U142" s="116" t="s">
        <v>92</v>
      </c>
      <c r="V142" s="116" t="s">
        <v>222</v>
      </c>
      <c r="W142" s="116">
        <v>20171231</v>
      </c>
      <c r="X142" s="116">
        <v>20181230</v>
      </c>
      <c r="Y142" s="116"/>
      <c r="Z142" s="116" t="s">
        <v>922</v>
      </c>
      <c r="AA142" s="116" t="s">
        <v>105</v>
      </c>
      <c r="AB142" s="116" t="s">
        <v>923</v>
      </c>
      <c r="AC142" s="116" t="s">
        <v>169</v>
      </c>
      <c r="AD142" s="116">
        <v>2017</v>
      </c>
      <c r="AE142" s="116" t="s">
        <v>96</v>
      </c>
      <c r="AF142" s="116" t="s">
        <v>954</v>
      </c>
      <c r="AG142" s="116" t="s">
        <v>1584</v>
      </c>
      <c r="AH142" s="116" t="s">
        <v>1585</v>
      </c>
      <c r="AI142" s="116" t="s">
        <v>119</v>
      </c>
      <c r="AJ142" s="116" t="s">
        <v>1586</v>
      </c>
      <c r="AK142" s="116" t="s">
        <v>98</v>
      </c>
      <c r="AL142" s="116" t="s">
        <v>129</v>
      </c>
      <c r="AM142" s="116" t="s">
        <v>781</v>
      </c>
      <c r="AN142" s="116" t="s">
        <v>782</v>
      </c>
      <c r="AO142" s="120">
        <v>43279</v>
      </c>
      <c r="AP142" s="116" t="s">
        <v>111</v>
      </c>
      <c r="AQ142" s="116">
        <v>33</v>
      </c>
      <c r="AR142" s="121" t="s">
        <v>545</v>
      </c>
      <c r="AS142" s="122">
        <v>43252</v>
      </c>
      <c r="AT142" s="123"/>
      <c r="AU142" s="116"/>
      <c r="AV142" s="124"/>
      <c r="AW142" s="123"/>
      <c r="AX142" s="116" t="s">
        <v>1585</v>
      </c>
    </row>
    <row r="143" spans="1:50" ht="15" hidden="1">
      <c r="A143" s="116" t="s">
        <v>1456</v>
      </c>
      <c r="B143" s="116" t="s">
        <v>90</v>
      </c>
      <c r="C143" s="116" t="s">
        <v>91</v>
      </c>
      <c r="D143" s="117">
        <v>0</v>
      </c>
      <c r="E143" s="118">
        <v>722.18</v>
      </c>
      <c r="F143" s="118">
        <v>0</v>
      </c>
      <c r="G143" s="118">
        <v>0</v>
      </c>
      <c r="H143" s="118">
        <v>3500</v>
      </c>
      <c r="I143" s="118">
        <v>525</v>
      </c>
      <c r="J143" s="118">
        <v>0</v>
      </c>
      <c r="K143" s="118">
        <v>0</v>
      </c>
      <c r="L143" s="118">
        <v>0</v>
      </c>
      <c r="M143" s="118">
        <v>0</v>
      </c>
      <c r="N143" s="118">
        <v>4025</v>
      </c>
      <c r="O143" s="119">
        <v>0</v>
      </c>
      <c r="P143" s="119">
        <v>0</v>
      </c>
      <c r="Q143" s="119">
        <v>0</v>
      </c>
      <c r="R143" s="119">
        <v>3500</v>
      </c>
      <c r="S143" s="119">
        <v>0</v>
      </c>
      <c r="T143" s="116" t="s">
        <v>1189</v>
      </c>
      <c r="U143" s="116" t="s">
        <v>92</v>
      </c>
      <c r="V143" s="116" t="s">
        <v>222</v>
      </c>
      <c r="W143" s="116">
        <v>20171231</v>
      </c>
      <c r="X143" s="116">
        <v>20181230</v>
      </c>
      <c r="Y143" s="116"/>
      <c r="Z143" s="116" t="s">
        <v>922</v>
      </c>
      <c r="AA143" s="116" t="s">
        <v>105</v>
      </c>
      <c r="AB143" s="116" t="s">
        <v>923</v>
      </c>
      <c r="AC143" s="116" t="s">
        <v>95</v>
      </c>
      <c r="AD143" s="116">
        <v>2017</v>
      </c>
      <c r="AE143" s="116" t="s">
        <v>96</v>
      </c>
      <c r="AF143" s="116" t="s">
        <v>954</v>
      </c>
      <c r="AG143" s="116" t="s">
        <v>1409</v>
      </c>
      <c r="AH143" s="116" t="s">
        <v>1410</v>
      </c>
      <c r="AI143" s="116" t="s">
        <v>119</v>
      </c>
      <c r="AJ143" s="116" t="s">
        <v>1411</v>
      </c>
      <c r="AK143" s="116" t="s">
        <v>551</v>
      </c>
      <c r="AL143" s="116" t="s">
        <v>129</v>
      </c>
      <c r="AM143" s="116" t="s">
        <v>731</v>
      </c>
      <c r="AN143" s="116" t="s">
        <v>732</v>
      </c>
      <c r="AO143" s="120">
        <v>43281</v>
      </c>
      <c r="AP143" s="116" t="s">
        <v>111</v>
      </c>
      <c r="AQ143" s="116">
        <v>33</v>
      </c>
      <c r="AR143" s="121" t="s">
        <v>554</v>
      </c>
      <c r="AS143" s="122">
        <v>43252</v>
      </c>
      <c r="AT143" s="123"/>
      <c r="AU143" s="116"/>
      <c r="AV143" s="124"/>
      <c r="AW143" s="123"/>
      <c r="AX143" s="116" t="s">
        <v>1410</v>
      </c>
    </row>
    <row r="144" spans="1:50" ht="15" hidden="1">
      <c r="A144" s="116" t="s">
        <v>1464</v>
      </c>
      <c r="B144" s="116" t="s">
        <v>90</v>
      </c>
      <c r="C144" s="116" t="s">
        <v>91</v>
      </c>
      <c r="D144" s="117">
        <v>0</v>
      </c>
      <c r="E144" s="118">
        <v>1099.83</v>
      </c>
      <c r="F144" s="118">
        <v>0</v>
      </c>
      <c r="G144" s="118">
        <v>0</v>
      </c>
      <c r="H144" s="118">
        <v>9312.35</v>
      </c>
      <c r="I144" s="118">
        <v>-951.85</v>
      </c>
      <c r="J144" s="118">
        <v>0</v>
      </c>
      <c r="K144" s="118">
        <v>-15658</v>
      </c>
      <c r="L144" s="118">
        <v>0</v>
      </c>
      <c r="M144" s="118">
        <v>0</v>
      </c>
      <c r="N144" s="118">
        <v>-7297.5</v>
      </c>
      <c r="O144" s="119">
        <v>9312.35</v>
      </c>
      <c r="P144" s="119">
        <v>0</v>
      </c>
      <c r="Q144" s="119">
        <v>0</v>
      </c>
      <c r="R144" s="119">
        <v>0</v>
      </c>
      <c r="S144" s="119">
        <v>0</v>
      </c>
      <c r="T144" s="116" t="s">
        <v>1465</v>
      </c>
      <c r="U144" s="116" t="s">
        <v>92</v>
      </c>
      <c r="V144" s="116" t="s">
        <v>223</v>
      </c>
      <c r="W144" s="116">
        <v>20171231</v>
      </c>
      <c r="X144" s="116">
        <v>20181230</v>
      </c>
      <c r="Y144" s="116"/>
      <c r="Z144" s="116" t="s">
        <v>922</v>
      </c>
      <c r="AA144" s="116" t="s">
        <v>105</v>
      </c>
      <c r="AB144" s="116" t="s">
        <v>923</v>
      </c>
      <c r="AC144" s="116" t="s">
        <v>99</v>
      </c>
      <c r="AD144" s="116">
        <v>2016</v>
      </c>
      <c r="AE144" s="116" t="s">
        <v>96</v>
      </c>
      <c r="AF144" s="116" t="s">
        <v>954</v>
      </c>
      <c r="AG144" s="116" t="s">
        <v>955</v>
      </c>
      <c r="AH144" s="116" t="s">
        <v>956</v>
      </c>
      <c r="AI144" s="116" t="s">
        <v>108</v>
      </c>
      <c r="AJ144" s="116" t="s">
        <v>957</v>
      </c>
      <c r="AK144" s="116" t="s">
        <v>99</v>
      </c>
      <c r="AL144" s="116" t="s">
        <v>129</v>
      </c>
      <c r="AM144" s="116" t="s">
        <v>557</v>
      </c>
      <c r="AN144" s="116" t="s">
        <v>558</v>
      </c>
      <c r="AO144" s="120">
        <v>43290</v>
      </c>
      <c r="AP144" s="116" t="s">
        <v>111</v>
      </c>
      <c r="AQ144" s="116">
        <v>33</v>
      </c>
      <c r="AR144" s="121" t="s">
        <v>545</v>
      </c>
      <c r="AS144" s="122">
        <v>43252</v>
      </c>
      <c r="AT144" s="123"/>
      <c r="AU144" s="116"/>
      <c r="AV144" s="124"/>
      <c r="AW144" s="123"/>
      <c r="AX144" s="116" t="s">
        <v>956</v>
      </c>
    </row>
    <row r="145" spans="1:50" ht="15" hidden="1">
      <c r="A145" s="116" t="s">
        <v>1469</v>
      </c>
      <c r="B145" s="116" t="s">
        <v>90</v>
      </c>
      <c r="C145" s="116" t="s">
        <v>91</v>
      </c>
      <c r="D145" s="117">
        <v>0</v>
      </c>
      <c r="E145" s="118">
        <v>1022.64</v>
      </c>
      <c r="F145" s="118">
        <v>0</v>
      </c>
      <c r="G145" s="118">
        <v>0</v>
      </c>
      <c r="H145" s="118">
        <v>0</v>
      </c>
      <c r="I145" s="118">
        <v>-189.75</v>
      </c>
      <c r="J145" s="118">
        <v>0</v>
      </c>
      <c r="K145" s="118">
        <v>-5000</v>
      </c>
      <c r="L145" s="118">
        <v>0</v>
      </c>
      <c r="M145" s="118">
        <v>3735</v>
      </c>
      <c r="N145" s="118">
        <v>-1454.75</v>
      </c>
      <c r="O145" s="119">
        <v>0</v>
      </c>
      <c r="P145" s="119">
        <v>0</v>
      </c>
      <c r="Q145" s="119">
        <v>0</v>
      </c>
      <c r="R145" s="119">
        <v>0</v>
      </c>
      <c r="S145" s="119">
        <v>0</v>
      </c>
      <c r="T145" s="116" t="s">
        <v>1447</v>
      </c>
      <c r="U145" s="116" t="s">
        <v>92</v>
      </c>
      <c r="V145" s="116" t="s">
        <v>224</v>
      </c>
      <c r="W145" s="116">
        <v>20171231</v>
      </c>
      <c r="X145" s="116">
        <v>20181230</v>
      </c>
      <c r="Y145" s="116"/>
      <c r="Z145" s="116" t="s">
        <v>922</v>
      </c>
      <c r="AA145" s="116" t="s">
        <v>105</v>
      </c>
      <c r="AB145" s="116" t="s">
        <v>1696</v>
      </c>
      <c r="AC145" s="116" t="s">
        <v>106</v>
      </c>
      <c r="AD145" s="116">
        <v>2013</v>
      </c>
      <c r="AE145" s="116" t="s">
        <v>374</v>
      </c>
      <c r="AF145" s="116" t="s">
        <v>1697</v>
      </c>
      <c r="AG145" s="116" t="s">
        <v>1709</v>
      </c>
      <c r="AH145" s="116"/>
      <c r="AI145" s="116" t="s">
        <v>162</v>
      </c>
      <c r="AJ145" s="116" t="s">
        <v>1710</v>
      </c>
      <c r="AK145" s="116" t="s">
        <v>106</v>
      </c>
      <c r="AL145" s="116" t="s">
        <v>129</v>
      </c>
      <c r="AM145" s="116" t="s">
        <v>808</v>
      </c>
      <c r="AN145" s="116" t="s">
        <v>827</v>
      </c>
      <c r="AO145" s="120">
        <v>43284</v>
      </c>
      <c r="AP145" s="116" t="s">
        <v>111</v>
      </c>
      <c r="AQ145" s="116">
        <v>33</v>
      </c>
      <c r="AR145" s="125"/>
      <c r="AS145" s="122">
        <v>43282</v>
      </c>
      <c r="AT145" s="123"/>
      <c r="AU145" s="116"/>
      <c r="AV145" s="124"/>
      <c r="AW145" s="123"/>
      <c r="AX145" s="116"/>
    </row>
    <row r="146" spans="1:50" ht="15" hidden="1">
      <c r="A146" s="116" t="s">
        <v>1472</v>
      </c>
      <c r="B146" s="116" t="s">
        <v>90</v>
      </c>
      <c r="C146" s="116" t="s">
        <v>91</v>
      </c>
      <c r="D146" s="117">
        <v>0</v>
      </c>
      <c r="E146" s="118">
        <v>1905.68</v>
      </c>
      <c r="F146" s="118">
        <v>7882.55</v>
      </c>
      <c r="G146" s="118">
        <v>7882.55</v>
      </c>
      <c r="H146" s="118">
        <v>0</v>
      </c>
      <c r="I146" s="118">
        <v>2831.7</v>
      </c>
      <c r="J146" s="118">
        <v>0</v>
      </c>
      <c r="K146" s="118">
        <v>0</v>
      </c>
      <c r="L146" s="118">
        <v>0</v>
      </c>
      <c r="M146" s="118">
        <v>15658</v>
      </c>
      <c r="N146" s="118">
        <v>18489.7</v>
      </c>
      <c r="O146" s="119">
        <v>0</v>
      </c>
      <c r="P146" s="119">
        <v>0</v>
      </c>
      <c r="Q146" s="119">
        <v>0</v>
      </c>
      <c r="R146" s="119">
        <v>0</v>
      </c>
      <c r="S146" s="119">
        <v>0</v>
      </c>
      <c r="T146" s="116" t="s">
        <v>1473</v>
      </c>
      <c r="U146" s="116" t="s">
        <v>92</v>
      </c>
      <c r="V146" s="116" t="s">
        <v>225</v>
      </c>
      <c r="W146" s="116">
        <v>20171231</v>
      </c>
      <c r="X146" s="116">
        <v>20181230</v>
      </c>
      <c r="Y146" s="116"/>
      <c r="Z146" s="116" t="s">
        <v>922</v>
      </c>
      <c r="AA146" s="116" t="s">
        <v>105</v>
      </c>
      <c r="AB146" s="116" t="s">
        <v>923</v>
      </c>
      <c r="AC146" s="116" t="s">
        <v>106</v>
      </c>
      <c r="AD146" s="116">
        <v>2018</v>
      </c>
      <c r="AE146" s="116" t="s">
        <v>96</v>
      </c>
      <c r="AF146" s="116" t="s">
        <v>289</v>
      </c>
      <c r="AG146" s="116" t="s">
        <v>1842</v>
      </c>
      <c r="AH146" s="116" t="s">
        <v>1843</v>
      </c>
      <c r="AI146" s="116" t="s">
        <v>119</v>
      </c>
      <c r="AJ146" s="116" t="s">
        <v>1844</v>
      </c>
      <c r="AK146" s="116" t="s">
        <v>106</v>
      </c>
      <c r="AL146" s="116" t="s">
        <v>129</v>
      </c>
      <c r="AM146" s="116" t="s">
        <v>871</v>
      </c>
      <c r="AN146" s="116" t="s">
        <v>872</v>
      </c>
      <c r="AO146" s="120">
        <v>43284</v>
      </c>
      <c r="AP146" s="116" t="s">
        <v>111</v>
      </c>
      <c r="AQ146" s="116">
        <v>33</v>
      </c>
      <c r="AR146" s="121" t="s">
        <v>554</v>
      </c>
      <c r="AS146" s="122">
        <v>43282</v>
      </c>
      <c r="AT146" s="123"/>
      <c r="AU146" s="116"/>
      <c r="AV146" s="124"/>
      <c r="AW146" s="123"/>
      <c r="AX146" s="116" t="s">
        <v>1843</v>
      </c>
    </row>
    <row r="147" spans="1:50" ht="15" hidden="1">
      <c r="A147" s="116" t="s">
        <v>1477</v>
      </c>
      <c r="B147" s="116" t="s">
        <v>90</v>
      </c>
      <c r="C147" s="116" t="s">
        <v>91</v>
      </c>
      <c r="D147" s="117">
        <v>0</v>
      </c>
      <c r="E147" s="118">
        <v>2143.25</v>
      </c>
      <c r="F147" s="118">
        <v>0</v>
      </c>
      <c r="G147" s="118">
        <v>0</v>
      </c>
      <c r="H147" s="118">
        <v>17576.96</v>
      </c>
      <c r="I147" s="118">
        <v>724.84</v>
      </c>
      <c r="J147" s="118">
        <v>0</v>
      </c>
      <c r="K147" s="118">
        <v>-15658</v>
      </c>
      <c r="L147" s="118">
        <v>0</v>
      </c>
      <c r="M147" s="118">
        <v>0</v>
      </c>
      <c r="N147" s="118">
        <v>2643.8</v>
      </c>
      <c r="O147" s="119">
        <v>17576.96</v>
      </c>
      <c r="P147" s="119">
        <v>0</v>
      </c>
      <c r="Q147" s="119">
        <v>0</v>
      </c>
      <c r="R147" s="119">
        <v>0</v>
      </c>
      <c r="S147" s="119">
        <v>0</v>
      </c>
      <c r="T147" s="116" t="s">
        <v>920</v>
      </c>
      <c r="U147" s="116" t="s">
        <v>92</v>
      </c>
      <c r="V147" s="116" t="s">
        <v>226</v>
      </c>
      <c r="W147" s="116">
        <v>20171231</v>
      </c>
      <c r="X147" s="116">
        <v>20181230</v>
      </c>
      <c r="Y147" s="116"/>
      <c r="Z147" s="116" t="s">
        <v>922</v>
      </c>
      <c r="AA147" s="116" t="s">
        <v>105</v>
      </c>
      <c r="AB147" s="116" t="s">
        <v>923</v>
      </c>
      <c r="AC147" s="116" t="s">
        <v>106</v>
      </c>
      <c r="AD147" s="116">
        <v>2018</v>
      </c>
      <c r="AE147" s="116" t="s">
        <v>96</v>
      </c>
      <c r="AF147" s="116" t="s">
        <v>289</v>
      </c>
      <c r="AG147" s="116" t="s">
        <v>1979</v>
      </c>
      <c r="AH147" s="116" t="s">
        <v>1980</v>
      </c>
      <c r="AI147" s="116" t="s">
        <v>119</v>
      </c>
      <c r="AJ147" s="116" t="s">
        <v>1981</v>
      </c>
      <c r="AK147" s="116" t="s">
        <v>131</v>
      </c>
      <c r="AL147" s="116" t="s">
        <v>129</v>
      </c>
      <c r="AM147" s="116" t="s">
        <v>908</v>
      </c>
      <c r="AN147" s="116" t="s">
        <v>909</v>
      </c>
      <c r="AO147" s="120">
        <v>43284</v>
      </c>
      <c r="AP147" s="116" t="s">
        <v>111</v>
      </c>
      <c r="AQ147" s="116">
        <v>33</v>
      </c>
      <c r="AR147" s="121" t="s">
        <v>545</v>
      </c>
      <c r="AS147" s="122">
        <v>43282</v>
      </c>
      <c r="AT147" s="123"/>
      <c r="AU147" s="116"/>
      <c r="AV147" s="124"/>
      <c r="AW147" s="123"/>
      <c r="AX147" s="116" t="s">
        <v>1980</v>
      </c>
    </row>
    <row r="148" spans="1:50" ht="15" hidden="1">
      <c r="A148" s="116" t="s">
        <v>1481</v>
      </c>
      <c r="B148" s="116" t="s">
        <v>90</v>
      </c>
      <c r="C148" s="116" t="s">
        <v>91</v>
      </c>
      <c r="D148" s="117">
        <v>5154.01</v>
      </c>
      <c r="E148" s="118">
        <v>1741.61</v>
      </c>
      <c r="F148" s="118">
        <v>0</v>
      </c>
      <c r="G148" s="118">
        <v>0</v>
      </c>
      <c r="H148" s="118">
        <v>5058.4399999999996</v>
      </c>
      <c r="I148" s="118">
        <v>0</v>
      </c>
      <c r="J148" s="118">
        <v>0</v>
      </c>
      <c r="K148" s="118">
        <v>-5058.4399999999996</v>
      </c>
      <c r="L148" s="118">
        <v>0</v>
      </c>
      <c r="M148" s="118">
        <v>0</v>
      </c>
      <c r="N148" s="118">
        <v>0</v>
      </c>
      <c r="O148" s="119">
        <v>3258.33</v>
      </c>
      <c r="P148" s="119">
        <v>1800.11</v>
      </c>
      <c r="Q148" s="119">
        <v>0</v>
      </c>
      <c r="R148" s="119">
        <v>0</v>
      </c>
      <c r="S148" s="119">
        <v>0</v>
      </c>
      <c r="T148" s="116" t="s">
        <v>1391</v>
      </c>
      <c r="U148" s="116" t="s">
        <v>92</v>
      </c>
      <c r="V148" s="116" t="s">
        <v>227</v>
      </c>
      <c r="W148" s="116">
        <v>20171231</v>
      </c>
      <c r="X148" s="116">
        <v>20181230</v>
      </c>
      <c r="Y148" s="116"/>
      <c r="Z148" s="116" t="s">
        <v>922</v>
      </c>
      <c r="AA148" s="116" t="s">
        <v>105</v>
      </c>
      <c r="AB148" s="116" t="s">
        <v>923</v>
      </c>
      <c r="AC148" s="116" t="s">
        <v>114</v>
      </c>
      <c r="AD148" s="116">
        <v>2017</v>
      </c>
      <c r="AE148" s="116" t="s">
        <v>96</v>
      </c>
      <c r="AF148" s="116" t="s">
        <v>954</v>
      </c>
      <c r="AG148" s="116" t="s">
        <v>1331</v>
      </c>
      <c r="AH148" s="116" t="s">
        <v>1332</v>
      </c>
      <c r="AI148" s="116" t="s">
        <v>119</v>
      </c>
      <c r="AJ148" s="116" t="s">
        <v>1333</v>
      </c>
      <c r="AK148" s="116" t="s">
        <v>114</v>
      </c>
      <c r="AL148" s="116" t="s">
        <v>129</v>
      </c>
      <c r="AM148" s="116" t="s">
        <v>699</v>
      </c>
      <c r="AN148" s="116" t="s">
        <v>700</v>
      </c>
      <c r="AO148" s="120">
        <v>43287</v>
      </c>
      <c r="AP148" s="116" t="s">
        <v>111</v>
      </c>
      <c r="AQ148" s="116">
        <v>33</v>
      </c>
      <c r="AR148" s="121" t="s">
        <v>545</v>
      </c>
      <c r="AS148" s="122">
        <v>43282</v>
      </c>
      <c r="AT148" s="123"/>
      <c r="AU148" s="116"/>
      <c r="AV148" s="124"/>
      <c r="AW148" s="123"/>
      <c r="AX148" s="116" t="s">
        <v>1332</v>
      </c>
    </row>
    <row r="149" spans="1:50" ht="15" hidden="1">
      <c r="A149" s="116" t="s">
        <v>1481</v>
      </c>
      <c r="B149" s="116" t="s">
        <v>90</v>
      </c>
      <c r="C149" s="116" t="s">
        <v>91</v>
      </c>
      <c r="D149" s="117">
        <v>0</v>
      </c>
      <c r="E149" s="118">
        <v>1302.67</v>
      </c>
      <c r="F149" s="118">
        <v>0</v>
      </c>
      <c r="G149" s="118">
        <v>0</v>
      </c>
      <c r="H149" s="118">
        <v>10362.5</v>
      </c>
      <c r="I149" s="118">
        <v>-3386.69</v>
      </c>
      <c r="J149" s="118">
        <v>0</v>
      </c>
      <c r="K149" s="118">
        <v>-32940.410000000003</v>
      </c>
      <c r="L149" s="118">
        <v>0</v>
      </c>
      <c r="M149" s="118">
        <v>0</v>
      </c>
      <c r="N149" s="118">
        <v>-25964.6</v>
      </c>
      <c r="O149" s="119">
        <v>10362.5</v>
      </c>
      <c r="P149" s="119">
        <v>0</v>
      </c>
      <c r="Q149" s="119">
        <v>0</v>
      </c>
      <c r="R149" s="119">
        <v>0</v>
      </c>
      <c r="S149" s="119">
        <v>0</v>
      </c>
      <c r="T149" s="116" t="s">
        <v>1484</v>
      </c>
      <c r="U149" s="116" t="s">
        <v>92</v>
      </c>
      <c r="V149" s="116" t="s">
        <v>227</v>
      </c>
      <c r="W149" s="116">
        <v>20171231</v>
      </c>
      <c r="X149" s="116">
        <v>20181230</v>
      </c>
      <c r="Y149" s="116"/>
      <c r="Z149" s="116" t="s">
        <v>922</v>
      </c>
      <c r="AA149" s="116" t="s">
        <v>105</v>
      </c>
      <c r="AB149" s="116" t="s">
        <v>923</v>
      </c>
      <c r="AC149" s="116" t="s">
        <v>106</v>
      </c>
      <c r="AD149" s="116">
        <v>2017</v>
      </c>
      <c r="AE149" s="116" t="s">
        <v>96</v>
      </c>
      <c r="AF149" s="116" t="s">
        <v>954</v>
      </c>
      <c r="AG149" s="116" t="s">
        <v>1579</v>
      </c>
      <c r="AH149" s="116" t="s">
        <v>1580</v>
      </c>
      <c r="AI149" s="116" t="s">
        <v>119</v>
      </c>
      <c r="AJ149" s="116" t="s">
        <v>1581</v>
      </c>
      <c r="AK149" s="116" t="s">
        <v>106</v>
      </c>
      <c r="AL149" s="116" t="s">
        <v>129</v>
      </c>
      <c r="AM149" s="116" t="s">
        <v>779</v>
      </c>
      <c r="AN149" s="116" t="s">
        <v>780</v>
      </c>
      <c r="AO149" s="120">
        <v>43287</v>
      </c>
      <c r="AP149" s="116" t="s">
        <v>111</v>
      </c>
      <c r="AQ149" s="116">
        <v>33</v>
      </c>
      <c r="AR149" s="121" t="s">
        <v>554</v>
      </c>
      <c r="AS149" s="122">
        <v>43282</v>
      </c>
      <c r="AT149" s="123"/>
      <c r="AU149" s="116"/>
      <c r="AV149" s="124"/>
      <c r="AW149" s="123"/>
      <c r="AX149" s="116" t="s">
        <v>1580</v>
      </c>
    </row>
    <row r="150" spans="1:50" ht="15" hidden="1">
      <c r="A150" s="116" t="s">
        <v>1481</v>
      </c>
      <c r="B150" s="116" t="s">
        <v>90</v>
      </c>
      <c r="C150" s="116" t="s">
        <v>91</v>
      </c>
      <c r="D150" s="117">
        <v>0</v>
      </c>
      <c r="E150" s="118">
        <v>424.78</v>
      </c>
      <c r="F150" s="118">
        <v>0</v>
      </c>
      <c r="G150" s="118">
        <v>0</v>
      </c>
      <c r="H150" s="118">
        <v>15658</v>
      </c>
      <c r="I150" s="118">
        <v>2348.6999999999998</v>
      </c>
      <c r="J150" s="118">
        <v>0</v>
      </c>
      <c r="K150" s="118">
        <v>0</v>
      </c>
      <c r="L150" s="118">
        <v>0</v>
      </c>
      <c r="M150" s="118">
        <v>0</v>
      </c>
      <c r="N150" s="118">
        <v>18006.7</v>
      </c>
      <c r="O150" s="119">
        <v>0</v>
      </c>
      <c r="P150" s="119">
        <v>0</v>
      </c>
      <c r="Q150" s="119">
        <v>0</v>
      </c>
      <c r="R150" s="119">
        <v>15658</v>
      </c>
      <c r="S150" s="119">
        <v>0</v>
      </c>
      <c r="T150" s="116" t="s">
        <v>1487</v>
      </c>
      <c r="U150" s="116" t="s">
        <v>92</v>
      </c>
      <c r="V150" s="116" t="s">
        <v>227</v>
      </c>
      <c r="W150" s="116">
        <v>20171231</v>
      </c>
      <c r="X150" s="116">
        <v>20181230</v>
      </c>
      <c r="Y150" s="116"/>
      <c r="Z150" s="116" t="s">
        <v>922</v>
      </c>
      <c r="AA150" s="116" t="s">
        <v>105</v>
      </c>
      <c r="AB150" s="116" t="s">
        <v>923</v>
      </c>
      <c r="AC150" s="116" t="s">
        <v>106</v>
      </c>
      <c r="AD150" s="116">
        <v>2018</v>
      </c>
      <c r="AE150" s="116" t="s">
        <v>96</v>
      </c>
      <c r="AF150" s="116" t="s">
        <v>289</v>
      </c>
      <c r="AG150" s="116" t="s">
        <v>1920</v>
      </c>
      <c r="AH150" s="116" t="s">
        <v>1921</v>
      </c>
      <c r="AI150" s="116" t="s">
        <v>119</v>
      </c>
      <c r="AJ150" s="116" t="s">
        <v>1922</v>
      </c>
      <c r="AK150" s="116" t="s">
        <v>128</v>
      </c>
      <c r="AL150" s="116" t="s">
        <v>129</v>
      </c>
      <c r="AM150" s="116" t="s">
        <v>891</v>
      </c>
      <c r="AN150" s="116" t="s">
        <v>892</v>
      </c>
      <c r="AO150" s="120">
        <v>43288</v>
      </c>
      <c r="AP150" s="116" t="s">
        <v>111</v>
      </c>
      <c r="AQ150" s="116">
        <v>33</v>
      </c>
      <c r="AR150" s="125"/>
      <c r="AS150" s="122">
        <v>43282</v>
      </c>
      <c r="AT150" s="123"/>
      <c r="AU150" s="116"/>
      <c r="AV150" s="124"/>
      <c r="AW150" s="123"/>
      <c r="AX150" s="116" t="s">
        <v>1921</v>
      </c>
    </row>
    <row r="151" spans="1:50" ht="15" hidden="1">
      <c r="A151" s="116" t="s">
        <v>1490</v>
      </c>
      <c r="B151" s="116" t="s">
        <v>90</v>
      </c>
      <c r="C151" s="116" t="s">
        <v>91</v>
      </c>
      <c r="D151" s="117">
        <v>0</v>
      </c>
      <c r="E151" s="118">
        <v>411.73</v>
      </c>
      <c r="F151" s="118">
        <v>0</v>
      </c>
      <c r="G151" s="118">
        <v>0</v>
      </c>
      <c r="H151" s="118">
        <v>5150</v>
      </c>
      <c r="I151" s="118">
        <v>772.5</v>
      </c>
      <c r="J151" s="118">
        <v>0</v>
      </c>
      <c r="K151" s="118">
        <v>0</v>
      </c>
      <c r="L151" s="118">
        <v>0</v>
      </c>
      <c r="M151" s="118">
        <v>0</v>
      </c>
      <c r="N151" s="118">
        <v>5922.5</v>
      </c>
      <c r="O151" s="119">
        <v>0</v>
      </c>
      <c r="P151" s="119">
        <v>5150</v>
      </c>
      <c r="Q151" s="119">
        <v>0</v>
      </c>
      <c r="R151" s="119">
        <v>0</v>
      </c>
      <c r="S151" s="119">
        <v>0</v>
      </c>
      <c r="T151" s="116" t="s">
        <v>1491</v>
      </c>
      <c r="U151" s="116" t="s">
        <v>92</v>
      </c>
      <c r="V151" s="116" t="s">
        <v>228</v>
      </c>
      <c r="W151" s="116">
        <v>20171231</v>
      </c>
      <c r="X151" s="116">
        <v>20181230</v>
      </c>
      <c r="Y151" s="116"/>
      <c r="Z151" s="116" t="s">
        <v>922</v>
      </c>
      <c r="AA151" s="116" t="s">
        <v>105</v>
      </c>
      <c r="AB151" s="116" t="s">
        <v>923</v>
      </c>
      <c r="AC151" s="116" t="s">
        <v>114</v>
      </c>
      <c r="AD151" s="116">
        <v>2016</v>
      </c>
      <c r="AE151" s="116" t="s">
        <v>96</v>
      </c>
      <c r="AF151" s="116" t="s">
        <v>954</v>
      </c>
      <c r="AG151" s="116" t="s">
        <v>1077</v>
      </c>
      <c r="AH151" s="116" t="s">
        <v>1078</v>
      </c>
      <c r="AI151" s="116" t="s">
        <v>108</v>
      </c>
      <c r="AJ151" s="116" t="s">
        <v>1079</v>
      </c>
      <c r="AK151" s="116" t="s">
        <v>114</v>
      </c>
      <c r="AL151" s="116" t="s">
        <v>129</v>
      </c>
      <c r="AM151" s="116" t="s">
        <v>602</v>
      </c>
      <c r="AN151" s="116" t="s">
        <v>603</v>
      </c>
      <c r="AO151" s="120">
        <v>43290</v>
      </c>
      <c r="AP151" s="116" t="s">
        <v>111</v>
      </c>
      <c r="AQ151" s="116">
        <v>33</v>
      </c>
      <c r="AR151" s="121" t="s">
        <v>554</v>
      </c>
      <c r="AS151" s="122">
        <v>43282</v>
      </c>
      <c r="AT151" s="123"/>
      <c r="AU151" s="116"/>
      <c r="AV151" s="124"/>
      <c r="AW151" s="123"/>
      <c r="AX151" s="116" t="s">
        <v>1078</v>
      </c>
    </row>
    <row r="152" spans="1:50" ht="15" hidden="1">
      <c r="A152" s="116" t="s">
        <v>1495</v>
      </c>
      <c r="B152" s="116" t="s">
        <v>90</v>
      </c>
      <c r="C152" s="116" t="s">
        <v>91</v>
      </c>
      <c r="D152" s="117">
        <v>0</v>
      </c>
      <c r="E152" s="118">
        <v>671.32</v>
      </c>
      <c r="F152" s="118">
        <v>0</v>
      </c>
      <c r="G152" s="118">
        <v>0</v>
      </c>
      <c r="H152" s="118">
        <v>0</v>
      </c>
      <c r="I152" s="118">
        <v>483</v>
      </c>
      <c r="J152" s="118">
        <v>0</v>
      </c>
      <c r="K152" s="118">
        <v>0</v>
      </c>
      <c r="L152" s="118">
        <v>0</v>
      </c>
      <c r="M152" s="118">
        <v>0</v>
      </c>
      <c r="N152" s="118">
        <v>483</v>
      </c>
      <c r="O152" s="119">
        <v>0</v>
      </c>
      <c r="P152" s="119">
        <v>0</v>
      </c>
      <c r="Q152" s="119">
        <v>0</v>
      </c>
      <c r="R152" s="119">
        <v>0</v>
      </c>
      <c r="S152" s="119">
        <v>0</v>
      </c>
      <c r="T152" s="116" t="s">
        <v>1496</v>
      </c>
      <c r="U152" s="116" t="s">
        <v>92</v>
      </c>
      <c r="V152" s="116" t="s">
        <v>229</v>
      </c>
      <c r="W152" s="116">
        <v>20171231</v>
      </c>
      <c r="X152" s="116">
        <v>20181230</v>
      </c>
      <c r="Y152" s="116"/>
      <c r="Z152" s="116" t="s">
        <v>922</v>
      </c>
      <c r="AA152" s="116" t="s">
        <v>105</v>
      </c>
      <c r="AB152" s="116" t="s">
        <v>923</v>
      </c>
      <c r="AC152" s="116" t="s">
        <v>114</v>
      </c>
      <c r="AD152" s="116">
        <v>2017</v>
      </c>
      <c r="AE152" s="116" t="s">
        <v>96</v>
      </c>
      <c r="AF152" s="116" t="s">
        <v>954</v>
      </c>
      <c r="AG152" s="116" t="s">
        <v>1387</v>
      </c>
      <c r="AH152" s="116" t="s">
        <v>1388</v>
      </c>
      <c r="AI152" s="116" t="s">
        <v>119</v>
      </c>
      <c r="AJ152" s="116" t="s">
        <v>1389</v>
      </c>
      <c r="AK152" s="116" t="s">
        <v>114</v>
      </c>
      <c r="AL152" s="116" t="s">
        <v>129</v>
      </c>
      <c r="AM152" s="116" t="s">
        <v>505</v>
      </c>
      <c r="AN152" s="116" t="s">
        <v>723</v>
      </c>
      <c r="AO152" s="120">
        <v>43290</v>
      </c>
      <c r="AP152" s="116" t="s">
        <v>111</v>
      </c>
      <c r="AQ152" s="116">
        <v>33</v>
      </c>
      <c r="AR152" s="121" t="s">
        <v>554</v>
      </c>
      <c r="AS152" s="122">
        <v>43282</v>
      </c>
      <c r="AT152" s="123"/>
      <c r="AU152" s="116"/>
      <c r="AV152" s="124"/>
      <c r="AW152" s="123"/>
      <c r="AX152" s="116" t="s">
        <v>1388</v>
      </c>
    </row>
    <row r="153" spans="1:50" ht="15" hidden="1">
      <c r="A153" s="116" t="s">
        <v>1499</v>
      </c>
      <c r="B153" s="116" t="s">
        <v>90</v>
      </c>
      <c r="C153" s="116" t="s">
        <v>91</v>
      </c>
      <c r="D153" s="117">
        <v>0</v>
      </c>
      <c r="E153" s="118">
        <v>458.44</v>
      </c>
      <c r="F153" s="118">
        <v>0</v>
      </c>
      <c r="G153" s="118">
        <v>0</v>
      </c>
      <c r="H153" s="118">
        <v>0</v>
      </c>
      <c r="I153" s="118">
        <v>450</v>
      </c>
      <c r="J153" s="118">
        <v>0</v>
      </c>
      <c r="K153" s="118">
        <v>0</v>
      </c>
      <c r="L153" s="118">
        <v>0</v>
      </c>
      <c r="M153" s="118">
        <v>3000</v>
      </c>
      <c r="N153" s="118">
        <v>3450</v>
      </c>
      <c r="O153" s="119">
        <v>0</v>
      </c>
      <c r="P153" s="119">
        <v>0</v>
      </c>
      <c r="Q153" s="119">
        <v>0</v>
      </c>
      <c r="R153" s="119">
        <v>0</v>
      </c>
      <c r="S153" s="119">
        <v>0</v>
      </c>
      <c r="T153" s="116" t="s">
        <v>1500</v>
      </c>
      <c r="U153" s="116" t="s">
        <v>92</v>
      </c>
      <c r="V153" s="116" t="s">
        <v>230</v>
      </c>
      <c r="W153" s="116">
        <v>20171231</v>
      </c>
      <c r="X153" s="116">
        <v>20181230</v>
      </c>
      <c r="Y153" s="116"/>
      <c r="Z153" s="116" t="s">
        <v>922</v>
      </c>
      <c r="AA153" s="116" t="s">
        <v>105</v>
      </c>
      <c r="AB153" s="116" t="s">
        <v>923</v>
      </c>
      <c r="AC153" s="116" t="s">
        <v>106</v>
      </c>
      <c r="AD153" s="116">
        <v>2017</v>
      </c>
      <c r="AE153" s="116" t="s">
        <v>96</v>
      </c>
      <c r="AF153" s="116" t="s">
        <v>954</v>
      </c>
      <c r="AG153" s="116" t="s">
        <v>1568</v>
      </c>
      <c r="AH153" s="116" t="s">
        <v>1569</v>
      </c>
      <c r="AI153" s="116" t="s">
        <v>162</v>
      </c>
      <c r="AJ153" s="116" t="s">
        <v>1570</v>
      </c>
      <c r="AK153" s="116" t="s">
        <v>106</v>
      </c>
      <c r="AL153" s="116" t="s">
        <v>129</v>
      </c>
      <c r="AM153" s="116" t="s">
        <v>435</v>
      </c>
      <c r="AN153" s="116" t="s">
        <v>777</v>
      </c>
      <c r="AO153" s="120">
        <v>43290</v>
      </c>
      <c r="AP153" s="116" t="s">
        <v>111</v>
      </c>
      <c r="AQ153" s="116">
        <v>33</v>
      </c>
      <c r="AR153" s="125"/>
      <c r="AS153" s="122">
        <v>43282</v>
      </c>
      <c r="AT153" s="123"/>
      <c r="AU153" s="116"/>
      <c r="AV153" s="124"/>
      <c r="AW153" s="123"/>
      <c r="AX153" s="116" t="s">
        <v>1569</v>
      </c>
    </row>
    <row r="154" spans="1:50" ht="15" hidden="1">
      <c r="A154" s="116" t="s">
        <v>1504</v>
      </c>
      <c r="B154" s="116" t="s">
        <v>90</v>
      </c>
      <c r="C154" s="116" t="s">
        <v>91</v>
      </c>
      <c r="D154" s="117">
        <v>0</v>
      </c>
      <c r="E154" s="118">
        <v>2641.96</v>
      </c>
      <c r="F154" s="118">
        <v>0</v>
      </c>
      <c r="G154" s="118">
        <v>0</v>
      </c>
      <c r="H154" s="118">
        <v>4201.1899999999996</v>
      </c>
      <c r="I154" s="118">
        <v>-1235.52</v>
      </c>
      <c r="J154" s="118">
        <v>0</v>
      </c>
      <c r="K154" s="118">
        <v>-15658</v>
      </c>
      <c r="L154" s="118">
        <v>0</v>
      </c>
      <c r="M154" s="118">
        <v>0</v>
      </c>
      <c r="N154" s="118">
        <v>-12692.33</v>
      </c>
      <c r="O154" s="119">
        <v>4201.1899999999996</v>
      </c>
      <c r="P154" s="119">
        <v>0</v>
      </c>
      <c r="Q154" s="119">
        <v>0</v>
      </c>
      <c r="R154" s="119">
        <v>0</v>
      </c>
      <c r="S154" s="119">
        <v>0</v>
      </c>
      <c r="T154" s="116" t="s">
        <v>1505</v>
      </c>
      <c r="U154" s="116" t="s">
        <v>92</v>
      </c>
      <c r="V154" s="116" t="s">
        <v>231</v>
      </c>
      <c r="W154" s="116">
        <v>20171231</v>
      </c>
      <c r="X154" s="116">
        <v>20181230</v>
      </c>
      <c r="Y154" s="116"/>
      <c r="Z154" s="116" t="s">
        <v>922</v>
      </c>
      <c r="AA154" s="116" t="s">
        <v>105</v>
      </c>
      <c r="AB154" s="116" t="s">
        <v>1210</v>
      </c>
      <c r="AC154" s="116" t="s">
        <v>106</v>
      </c>
      <c r="AD154" s="116">
        <v>2016</v>
      </c>
      <c r="AE154" s="116" t="s">
        <v>96</v>
      </c>
      <c r="AF154" s="116" t="s">
        <v>1211</v>
      </c>
      <c r="AG154" s="116" t="s">
        <v>1226</v>
      </c>
      <c r="AH154" s="116" t="s">
        <v>1223</v>
      </c>
      <c r="AI154" s="116" t="s">
        <v>162</v>
      </c>
      <c r="AJ154" s="116" t="s">
        <v>1227</v>
      </c>
      <c r="AK154" s="116" t="s">
        <v>551</v>
      </c>
      <c r="AL154" s="116" t="s">
        <v>129</v>
      </c>
      <c r="AM154" s="116" t="s">
        <v>345</v>
      </c>
      <c r="AN154" s="116" t="s">
        <v>654</v>
      </c>
      <c r="AO154" s="120">
        <v>43291</v>
      </c>
      <c r="AP154" s="116" t="s">
        <v>111</v>
      </c>
      <c r="AQ154" s="116">
        <v>33</v>
      </c>
      <c r="AR154" s="121" t="s">
        <v>554</v>
      </c>
      <c r="AS154" s="122">
        <v>43282</v>
      </c>
      <c r="AT154" s="123"/>
      <c r="AU154" s="116"/>
      <c r="AV154" s="124"/>
      <c r="AW154" s="123"/>
      <c r="AX154" s="116" t="s">
        <v>1223</v>
      </c>
    </row>
    <row r="155" spans="1:50" ht="15" hidden="1">
      <c r="A155" s="116" t="s">
        <v>1509</v>
      </c>
      <c r="B155" s="116" t="s">
        <v>90</v>
      </c>
      <c r="C155" s="116" t="s">
        <v>91</v>
      </c>
      <c r="D155" s="117">
        <v>0</v>
      </c>
      <c r="E155" s="118">
        <v>550.14</v>
      </c>
      <c r="F155" s="118">
        <v>0</v>
      </c>
      <c r="G155" s="118">
        <v>0</v>
      </c>
      <c r="H155" s="118">
        <v>15658</v>
      </c>
      <c r="I155" s="118">
        <v>2348.6999999999998</v>
      </c>
      <c r="J155" s="118">
        <v>0</v>
      </c>
      <c r="K155" s="118">
        <v>0</v>
      </c>
      <c r="L155" s="118">
        <v>0</v>
      </c>
      <c r="M155" s="118">
        <v>0</v>
      </c>
      <c r="N155" s="118">
        <v>18006.7</v>
      </c>
      <c r="O155" s="119">
        <v>0</v>
      </c>
      <c r="P155" s="119">
        <v>0</v>
      </c>
      <c r="Q155" s="119">
        <v>0</v>
      </c>
      <c r="R155" s="119">
        <v>15658</v>
      </c>
      <c r="S155" s="119">
        <v>0</v>
      </c>
      <c r="T155" s="116" t="s">
        <v>1510</v>
      </c>
      <c r="U155" s="116" t="s">
        <v>92</v>
      </c>
      <c r="V155" s="116" t="s">
        <v>232</v>
      </c>
      <c r="W155" s="116">
        <v>20171231</v>
      </c>
      <c r="X155" s="116">
        <v>20181230</v>
      </c>
      <c r="Y155" s="116"/>
      <c r="Z155" s="116" t="s">
        <v>922</v>
      </c>
      <c r="AA155" s="116" t="s">
        <v>105</v>
      </c>
      <c r="AB155" s="116" t="s">
        <v>923</v>
      </c>
      <c r="AC155" s="116" t="s">
        <v>106</v>
      </c>
      <c r="AD155" s="116">
        <v>2018</v>
      </c>
      <c r="AE155" s="116" t="s">
        <v>96</v>
      </c>
      <c r="AF155" s="116" t="s">
        <v>289</v>
      </c>
      <c r="AG155" s="116" t="s">
        <v>1923</v>
      </c>
      <c r="AH155" s="116" t="s">
        <v>1924</v>
      </c>
      <c r="AI155" s="116" t="s">
        <v>119</v>
      </c>
      <c r="AJ155" s="116" t="s">
        <v>1925</v>
      </c>
      <c r="AK155" s="116" t="s">
        <v>128</v>
      </c>
      <c r="AL155" s="116" t="s">
        <v>129</v>
      </c>
      <c r="AM155" s="116" t="s">
        <v>717</v>
      </c>
      <c r="AN155" s="116" t="s">
        <v>750</v>
      </c>
      <c r="AO155" s="120">
        <v>43291</v>
      </c>
      <c r="AP155" s="116" t="s">
        <v>111</v>
      </c>
      <c r="AQ155" s="116">
        <v>33</v>
      </c>
      <c r="AR155" s="121" t="s">
        <v>545</v>
      </c>
      <c r="AS155" s="122">
        <v>43282</v>
      </c>
      <c r="AT155" s="123"/>
      <c r="AU155" s="116"/>
      <c r="AV155" s="124"/>
      <c r="AW155" s="123"/>
      <c r="AX155" s="116" t="s">
        <v>1924</v>
      </c>
    </row>
    <row r="156" spans="1:50" ht="15" hidden="1">
      <c r="A156" s="116" t="s">
        <v>1514</v>
      </c>
      <c r="B156" s="116" t="s">
        <v>90</v>
      </c>
      <c r="C156" s="116" t="s">
        <v>91</v>
      </c>
      <c r="D156" s="117">
        <v>0</v>
      </c>
      <c r="E156" s="118">
        <v>1274.04</v>
      </c>
      <c r="F156" s="118">
        <v>0</v>
      </c>
      <c r="G156" s="118">
        <v>0</v>
      </c>
      <c r="H156" s="118">
        <v>15658</v>
      </c>
      <c r="I156" s="118">
        <v>2348.6999999999998</v>
      </c>
      <c r="J156" s="118">
        <v>0</v>
      </c>
      <c r="K156" s="118">
        <v>0</v>
      </c>
      <c r="L156" s="118">
        <v>0</v>
      </c>
      <c r="M156" s="118">
        <v>0</v>
      </c>
      <c r="N156" s="118">
        <v>18006.7</v>
      </c>
      <c r="O156" s="119">
        <v>0</v>
      </c>
      <c r="P156" s="119">
        <v>0</v>
      </c>
      <c r="Q156" s="119">
        <v>0</v>
      </c>
      <c r="R156" s="119">
        <v>15658</v>
      </c>
      <c r="S156" s="119">
        <v>0</v>
      </c>
      <c r="T156" s="116" t="s">
        <v>1515</v>
      </c>
      <c r="U156" s="116" t="s">
        <v>92</v>
      </c>
      <c r="V156" s="116" t="s">
        <v>233</v>
      </c>
      <c r="W156" s="116">
        <v>20171231</v>
      </c>
      <c r="X156" s="116">
        <v>20181230</v>
      </c>
      <c r="Y156" s="116"/>
      <c r="Z156" s="116" t="s">
        <v>922</v>
      </c>
      <c r="AA156" s="116" t="s">
        <v>105</v>
      </c>
      <c r="AB156" s="116" t="s">
        <v>923</v>
      </c>
      <c r="AC156" s="116" t="s">
        <v>144</v>
      </c>
      <c r="AD156" s="116">
        <v>2016</v>
      </c>
      <c r="AE156" s="116" t="s">
        <v>96</v>
      </c>
      <c r="AF156" s="116" t="s">
        <v>954</v>
      </c>
      <c r="AG156" s="116" t="s">
        <v>1187</v>
      </c>
      <c r="AH156" s="116"/>
      <c r="AI156" s="116" t="s">
        <v>119</v>
      </c>
      <c r="AJ156" s="116" t="s">
        <v>644</v>
      </c>
      <c r="AK156" s="116" t="s">
        <v>642</v>
      </c>
      <c r="AL156" s="116" t="s">
        <v>110</v>
      </c>
      <c r="AM156" s="116" t="s">
        <v>643</v>
      </c>
      <c r="AN156" s="116" t="s">
        <v>644</v>
      </c>
      <c r="AO156" s="120">
        <v>43299</v>
      </c>
      <c r="AP156" s="116" t="s">
        <v>111</v>
      </c>
      <c r="AQ156" s="116">
        <v>33</v>
      </c>
      <c r="AR156" s="123"/>
      <c r="AS156" s="122">
        <v>43282</v>
      </c>
      <c r="AT156" s="123"/>
      <c r="AU156" s="116"/>
      <c r="AV156" s="124"/>
      <c r="AW156" s="123"/>
      <c r="AX156" s="116"/>
    </row>
    <row r="157" spans="1:50" ht="15" hidden="1">
      <c r="A157" s="116" t="s">
        <v>1519</v>
      </c>
      <c r="B157" s="116" t="s">
        <v>90</v>
      </c>
      <c r="C157" s="116" t="s">
        <v>91</v>
      </c>
      <c r="D157" s="117">
        <v>0</v>
      </c>
      <c r="E157" s="118">
        <v>3396.99</v>
      </c>
      <c r="F157" s="118">
        <v>6831.5</v>
      </c>
      <c r="G157" s="118">
        <v>6831.5</v>
      </c>
      <c r="H157" s="118">
        <v>118868.25</v>
      </c>
      <c r="I157" s="118">
        <v>29790.21</v>
      </c>
      <c r="J157" s="118">
        <v>-45689.66</v>
      </c>
      <c r="K157" s="118">
        <v>0</v>
      </c>
      <c r="L157" s="118">
        <v>0</v>
      </c>
      <c r="M157" s="118">
        <v>0</v>
      </c>
      <c r="N157" s="118">
        <v>102968.8</v>
      </c>
      <c r="O157" s="119">
        <v>115711.97</v>
      </c>
      <c r="P157" s="119">
        <v>3156.28</v>
      </c>
      <c r="Q157" s="119">
        <v>0</v>
      </c>
      <c r="R157" s="119">
        <v>0</v>
      </c>
      <c r="S157" s="119">
        <v>0</v>
      </c>
      <c r="T157" s="116" t="s">
        <v>1064</v>
      </c>
      <c r="U157" s="116" t="s">
        <v>92</v>
      </c>
      <c r="V157" s="116" t="s">
        <v>1520</v>
      </c>
      <c r="W157" s="116">
        <v>20171231</v>
      </c>
      <c r="X157" s="116">
        <v>20181230</v>
      </c>
      <c r="Y157" s="116"/>
      <c r="Z157" s="116" t="s">
        <v>922</v>
      </c>
      <c r="AA157" s="116" t="s">
        <v>105</v>
      </c>
      <c r="AB157" s="116" t="s">
        <v>923</v>
      </c>
      <c r="AC157" s="116" t="s">
        <v>106</v>
      </c>
      <c r="AD157" s="116">
        <v>2018</v>
      </c>
      <c r="AE157" s="116" t="s">
        <v>96</v>
      </c>
      <c r="AF157" s="116" t="s">
        <v>289</v>
      </c>
      <c r="AG157" s="116" t="s">
        <v>1846</v>
      </c>
      <c r="AH157" s="116" t="s">
        <v>369</v>
      </c>
      <c r="AI157" s="116" t="s">
        <v>162</v>
      </c>
      <c r="AJ157" s="116" t="s">
        <v>1847</v>
      </c>
      <c r="AK157" s="116" t="s">
        <v>106</v>
      </c>
      <c r="AL157" s="116" t="s">
        <v>129</v>
      </c>
      <c r="AM157" s="116" t="s">
        <v>873</v>
      </c>
      <c r="AN157" s="116" t="s">
        <v>874</v>
      </c>
      <c r="AO157" s="120">
        <v>43301</v>
      </c>
      <c r="AP157" s="116" t="s">
        <v>111</v>
      </c>
      <c r="AQ157" s="116">
        <v>33</v>
      </c>
      <c r="AR157" s="121" t="s">
        <v>554</v>
      </c>
      <c r="AS157" s="122">
        <v>43282</v>
      </c>
      <c r="AT157" s="123"/>
      <c r="AU157" s="116"/>
      <c r="AV157" s="124"/>
      <c r="AW157" s="123"/>
      <c r="AX157" s="116" t="s">
        <v>369</v>
      </c>
    </row>
    <row r="158" spans="1:50" ht="15" hidden="1">
      <c r="A158" s="116" t="s">
        <v>1523</v>
      </c>
      <c r="B158" s="116" t="s">
        <v>90</v>
      </c>
      <c r="C158" s="116" t="s">
        <v>91</v>
      </c>
      <c r="D158" s="117">
        <v>0</v>
      </c>
      <c r="E158" s="118">
        <v>1294.93</v>
      </c>
      <c r="F158" s="118">
        <v>0</v>
      </c>
      <c r="G158" s="118">
        <v>0</v>
      </c>
      <c r="H158" s="118">
        <v>0</v>
      </c>
      <c r="I158" s="118">
        <v>0</v>
      </c>
      <c r="J158" s="118">
        <v>0</v>
      </c>
      <c r="K158" s="118">
        <v>0</v>
      </c>
      <c r="L158" s="118">
        <v>0</v>
      </c>
      <c r="M158" s="118">
        <v>0</v>
      </c>
      <c r="N158" s="118">
        <v>0</v>
      </c>
      <c r="O158" s="119">
        <v>0</v>
      </c>
      <c r="P158" s="119">
        <v>0</v>
      </c>
      <c r="Q158" s="119">
        <v>0</v>
      </c>
      <c r="R158" s="119">
        <v>0</v>
      </c>
      <c r="S158" s="119">
        <v>0</v>
      </c>
      <c r="T158" s="116" t="s">
        <v>1524</v>
      </c>
      <c r="U158" s="116" t="s">
        <v>92</v>
      </c>
      <c r="V158" s="116" t="s">
        <v>234</v>
      </c>
      <c r="W158" s="116">
        <v>20171231</v>
      </c>
      <c r="X158" s="116">
        <v>20181230</v>
      </c>
      <c r="Y158" s="116"/>
      <c r="Z158" s="116" t="s">
        <v>922</v>
      </c>
      <c r="AA158" s="116" t="s">
        <v>105</v>
      </c>
      <c r="AB158" s="116" t="s">
        <v>923</v>
      </c>
      <c r="AC158" s="116" t="s">
        <v>106</v>
      </c>
      <c r="AD158" s="116">
        <v>2018</v>
      </c>
      <c r="AE158" s="116" t="s">
        <v>96</v>
      </c>
      <c r="AF158" s="116" t="s">
        <v>289</v>
      </c>
      <c r="AG158" s="116" t="s">
        <v>1938</v>
      </c>
      <c r="AH158" s="116" t="s">
        <v>1939</v>
      </c>
      <c r="AI158" s="116" t="s">
        <v>162</v>
      </c>
      <c r="AJ158" s="116" t="s">
        <v>1940</v>
      </c>
      <c r="AK158" s="116" t="s">
        <v>131</v>
      </c>
      <c r="AL158" s="116" t="s">
        <v>129</v>
      </c>
      <c r="AM158" s="116" t="s">
        <v>896</v>
      </c>
      <c r="AN158" s="116" t="s">
        <v>897</v>
      </c>
      <c r="AO158" s="120">
        <v>43306</v>
      </c>
      <c r="AP158" s="116" t="s">
        <v>111</v>
      </c>
      <c r="AQ158" s="116">
        <v>33</v>
      </c>
      <c r="AR158" s="121" t="s">
        <v>554</v>
      </c>
      <c r="AS158" s="122">
        <v>43282</v>
      </c>
      <c r="AT158" s="123"/>
      <c r="AU158" s="116"/>
      <c r="AV158" s="124"/>
      <c r="AW158" s="123"/>
      <c r="AX158" s="116" t="s">
        <v>1939</v>
      </c>
    </row>
    <row r="159" spans="1:50" ht="15" hidden="1">
      <c r="A159" s="116" t="s">
        <v>1528</v>
      </c>
      <c r="B159" s="116" t="s">
        <v>90</v>
      </c>
      <c r="C159" s="116" t="s">
        <v>91</v>
      </c>
      <c r="D159" s="117">
        <v>0</v>
      </c>
      <c r="E159" s="118">
        <v>1697.67</v>
      </c>
      <c r="F159" s="118">
        <v>0</v>
      </c>
      <c r="G159" s="118">
        <v>0</v>
      </c>
      <c r="H159" s="118">
        <v>38864.230000000003</v>
      </c>
      <c r="I159" s="118">
        <v>5829.63</v>
      </c>
      <c r="J159" s="118">
        <v>0</v>
      </c>
      <c r="K159" s="118">
        <v>0</v>
      </c>
      <c r="L159" s="118">
        <v>0</v>
      </c>
      <c r="M159" s="118">
        <v>0</v>
      </c>
      <c r="N159" s="118">
        <v>44693.86</v>
      </c>
      <c r="O159" s="119">
        <v>23206.23</v>
      </c>
      <c r="P159" s="119">
        <v>0</v>
      </c>
      <c r="Q159" s="119">
        <v>0</v>
      </c>
      <c r="R159" s="119">
        <v>15658</v>
      </c>
      <c r="S159" s="119">
        <v>0</v>
      </c>
      <c r="T159" s="116" t="s">
        <v>1529</v>
      </c>
      <c r="U159" s="116" t="s">
        <v>92</v>
      </c>
      <c r="V159" s="116" t="s">
        <v>235</v>
      </c>
      <c r="W159" s="116">
        <v>20171231</v>
      </c>
      <c r="X159" s="116">
        <v>20181230</v>
      </c>
      <c r="Y159" s="116"/>
      <c r="Z159" s="116" t="s">
        <v>922</v>
      </c>
      <c r="AA159" s="116" t="s">
        <v>105</v>
      </c>
      <c r="AB159" s="116" t="s">
        <v>923</v>
      </c>
      <c r="AC159" s="116" t="s">
        <v>106</v>
      </c>
      <c r="AD159" s="116">
        <v>2016</v>
      </c>
      <c r="AE159" s="116" t="s">
        <v>96</v>
      </c>
      <c r="AF159" s="116" t="s">
        <v>954</v>
      </c>
      <c r="AG159" s="116" t="s">
        <v>1026</v>
      </c>
      <c r="AH159" s="116" t="s">
        <v>422</v>
      </c>
      <c r="AI159" s="116" t="s">
        <v>119</v>
      </c>
      <c r="AJ159" s="116" t="s">
        <v>1027</v>
      </c>
      <c r="AK159" s="116" t="s">
        <v>551</v>
      </c>
      <c r="AL159" s="116" t="s">
        <v>129</v>
      </c>
      <c r="AM159" s="116" t="s">
        <v>580</v>
      </c>
      <c r="AN159" s="116" t="s">
        <v>581</v>
      </c>
      <c r="AO159" s="120">
        <v>43307</v>
      </c>
      <c r="AP159" s="116" t="s">
        <v>111</v>
      </c>
      <c r="AQ159" s="116">
        <v>33</v>
      </c>
      <c r="AR159" s="125"/>
      <c r="AS159" s="122">
        <v>43282</v>
      </c>
      <c r="AT159" s="123"/>
      <c r="AU159" s="116"/>
      <c r="AV159" s="124"/>
      <c r="AW159" s="123"/>
      <c r="AX159" s="116" t="s">
        <v>422</v>
      </c>
    </row>
    <row r="160" spans="1:50" ht="15" hidden="1">
      <c r="A160" s="116" t="s">
        <v>1528</v>
      </c>
      <c r="B160" s="116" t="s">
        <v>90</v>
      </c>
      <c r="C160" s="116" t="s">
        <v>91</v>
      </c>
      <c r="D160" s="117">
        <v>0</v>
      </c>
      <c r="E160" s="118">
        <v>414.07</v>
      </c>
      <c r="F160" s="118">
        <v>0</v>
      </c>
      <c r="G160" s="118">
        <v>0</v>
      </c>
      <c r="H160" s="118">
        <v>17458</v>
      </c>
      <c r="I160" s="118">
        <v>14624.42</v>
      </c>
      <c r="J160" s="118">
        <v>0</v>
      </c>
      <c r="K160" s="118">
        <v>0</v>
      </c>
      <c r="L160" s="118">
        <v>0</v>
      </c>
      <c r="M160" s="118">
        <v>50306.8</v>
      </c>
      <c r="N160" s="118">
        <v>82389.22</v>
      </c>
      <c r="O160" s="119">
        <v>0</v>
      </c>
      <c r="P160" s="119">
        <v>1800</v>
      </c>
      <c r="Q160" s="119">
        <v>0</v>
      </c>
      <c r="R160" s="119">
        <v>15658</v>
      </c>
      <c r="S160" s="119">
        <v>0</v>
      </c>
      <c r="T160" s="116" t="s">
        <v>1533</v>
      </c>
      <c r="U160" s="116" t="s">
        <v>92</v>
      </c>
      <c r="V160" s="116" t="s">
        <v>235</v>
      </c>
      <c r="W160" s="116">
        <v>20171231</v>
      </c>
      <c r="X160" s="116">
        <v>20181230</v>
      </c>
      <c r="Y160" s="116"/>
      <c r="Z160" s="116" t="s">
        <v>922</v>
      </c>
      <c r="AA160" s="116" t="s">
        <v>105</v>
      </c>
      <c r="AB160" s="116" t="s">
        <v>1210</v>
      </c>
      <c r="AC160" s="116" t="s">
        <v>106</v>
      </c>
      <c r="AD160" s="116">
        <v>2016</v>
      </c>
      <c r="AE160" s="116" t="s">
        <v>96</v>
      </c>
      <c r="AF160" s="116" t="s">
        <v>1211</v>
      </c>
      <c r="AG160" s="116" t="s">
        <v>1245</v>
      </c>
      <c r="AH160" s="116" t="s">
        <v>1243</v>
      </c>
      <c r="AI160" s="116" t="s">
        <v>108</v>
      </c>
      <c r="AJ160" s="116" t="s">
        <v>1246</v>
      </c>
      <c r="AK160" s="116" t="s">
        <v>106</v>
      </c>
      <c r="AL160" s="116" t="s">
        <v>129</v>
      </c>
      <c r="AM160" s="116" t="s">
        <v>663</v>
      </c>
      <c r="AN160" s="116" t="s">
        <v>664</v>
      </c>
      <c r="AO160" s="120">
        <v>43307</v>
      </c>
      <c r="AP160" s="116" t="s">
        <v>111</v>
      </c>
      <c r="AQ160" s="116">
        <v>33</v>
      </c>
      <c r="AR160" s="121" t="s">
        <v>545</v>
      </c>
      <c r="AS160" s="122">
        <v>43282</v>
      </c>
      <c r="AT160" s="123"/>
      <c r="AU160" s="116"/>
      <c r="AV160" s="124"/>
      <c r="AW160" s="123"/>
      <c r="AX160" s="116" t="s">
        <v>1243</v>
      </c>
    </row>
    <row r="161" spans="1:50" ht="15" hidden="1">
      <c r="A161" s="116" t="s">
        <v>1536</v>
      </c>
      <c r="B161" s="116" t="s">
        <v>90</v>
      </c>
      <c r="C161" s="116" t="s">
        <v>91</v>
      </c>
      <c r="D161" s="117">
        <v>0</v>
      </c>
      <c r="E161" s="118">
        <v>649.66</v>
      </c>
      <c r="F161" s="118">
        <v>0</v>
      </c>
      <c r="G161" s="118">
        <v>0</v>
      </c>
      <c r="H161" s="118">
        <v>0</v>
      </c>
      <c r="I161" s="118">
        <v>1469.7</v>
      </c>
      <c r="J161" s="118">
        <v>0</v>
      </c>
      <c r="K161" s="118">
        <v>0</v>
      </c>
      <c r="L161" s="118">
        <v>0</v>
      </c>
      <c r="M161" s="118">
        <v>6578</v>
      </c>
      <c r="N161" s="118">
        <v>8047.7</v>
      </c>
      <c r="O161" s="119">
        <v>0</v>
      </c>
      <c r="P161" s="119">
        <v>0</v>
      </c>
      <c r="Q161" s="119">
        <v>0</v>
      </c>
      <c r="R161" s="119">
        <v>0</v>
      </c>
      <c r="S161" s="119">
        <v>0</v>
      </c>
      <c r="T161" s="116" t="s">
        <v>1537</v>
      </c>
      <c r="U161" s="116" t="s">
        <v>92</v>
      </c>
      <c r="V161" s="116" t="s">
        <v>236</v>
      </c>
      <c r="W161" s="116">
        <v>20171231</v>
      </c>
      <c r="X161" s="116">
        <v>20181230</v>
      </c>
      <c r="Y161" s="116"/>
      <c r="Z161" s="116" t="s">
        <v>922</v>
      </c>
      <c r="AA161" s="116" t="s">
        <v>105</v>
      </c>
      <c r="AB161" s="116" t="s">
        <v>923</v>
      </c>
      <c r="AC161" s="116" t="s">
        <v>106</v>
      </c>
      <c r="AD161" s="116">
        <v>2018</v>
      </c>
      <c r="AE161" s="116" t="s">
        <v>96</v>
      </c>
      <c r="AF161" s="116" t="s">
        <v>289</v>
      </c>
      <c r="AG161" s="116" t="s">
        <v>1901</v>
      </c>
      <c r="AH161" s="116"/>
      <c r="AI161" s="116" t="s">
        <v>162</v>
      </c>
      <c r="AJ161" s="116" t="s">
        <v>1902</v>
      </c>
      <c r="AK161" s="116" t="s">
        <v>642</v>
      </c>
      <c r="AL161" s="116" t="s">
        <v>129</v>
      </c>
      <c r="AM161" s="116" t="s">
        <v>440</v>
      </c>
      <c r="AN161" s="116" t="s">
        <v>888</v>
      </c>
      <c r="AO161" s="120">
        <v>43309</v>
      </c>
      <c r="AP161" s="116" t="s">
        <v>111</v>
      </c>
      <c r="AQ161" s="116">
        <v>33</v>
      </c>
      <c r="AR161" s="121" t="s">
        <v>545</v>
      </c>
      <c r="AS161" s="122">
        <v>43282</v>
      </c>
      <c r="AT161" s="123"/>
      <c r="AU161" s="116"/>
      <c r="AV161" s="124"/>
      <c r="AW161" s="123"/>
      <c r="AX161" s="116"/>
    </row>
    <row r="162" spans="1:50" ht="15" hidden="1">
      <c r="A162" s="116" t="s">
        <v>1539</v>
      </c>
      <c r="B162" s="116" t="s">
        <v>90</v>
      </c>
      <c r="C162" s="116" t="s">
        <v>91</v>
      </c>
      <c r="D162" s="117">
        <v>0</v>
      </c>
      <c r="E162" s="118">
        <v>424.78</v>
      </c>
      <c r="F162" s="118">
        <v>0</v>
      </c>
      <c r="G162" s="118">
        <v>0</v>
      </c>
      <c r="H162" s="118">
        <v>0</v>
      </c>
      <c r="I162" s="118">
        <v>0</v>
      </c>
      <c r="J162" s="118">
        <v>0</v>
      </c>
      <c r="K162" s="118">
        <v>0</v>
      </c>
      <c r="L162" s="118">
        <v>0</v>
      </c>
      <c r="M162" s="118">
        <v>0</v>
      </c>
      <c r="N162" s="118">
        <v>0</v>
      </c>
      <c r="O162" s="119">
        <v>0</v>
      </c>
      <c r="P162" s="119">
        <v>0</v>
      </c>
      <c r="Q162" s="119">
        <v>0</v>
      </c>
      <c r="R162" s="119">
        <v>0</v>
      </c>
      <c r="S162" s="119">
        <v>0</v>
      </c>
      <c r="T162" s="116" t="s">
        <v>1540</v>
      </c>
      <c r="U162" s="116" t="s">
        <v>92</v>
      </c>
      <c r="V162" s="116" t="s">
        <v>239</v>
      </c>
      <c r="W162" s="116">
        <v>20171231</v>
      </c>
      <c r="X162" s="116">
        <v>20181230</v>
      </c>
      <c r="Y162" s="116"/>
      <c r="Z162" s="116" t="s">
        <v>922</v>
      </c>
      <c r="AA162" s="116" t="s">
        <v>105</v>
      </c>
      <c r="AB162" s="116" t="s">
        <v>923</v>
      </c>
      <c r="AC162" s="116" t="s">
        <v>131</v>
      </c>
      <c r="AD162" s="116">
        <v>2017</v>
      </c>
      <c r="AE162" s="116" t="s">
        <v>96</v>
      </c>
      <c r="AF162" s="116" t="s">
        <v>954</v>
      </c>
      <c r="AG162" s="116" t="s">
        <v>1367</v>
      </c>
      <c r="AH162" s="116" t="s">
        <v>1368</v>
      </c>
      <c r="AI162" s="116" t="s">
        <v>119</v>
      </c>
      <c r="AJ162" s="116" t="s">
        <v>1369</v>
      </c>
      <c r="AK162" s="116" t="s">
        <v>131</v>
      </c>
      <c r="AL162" s="116" t="s">
        <v>129</v>
      </c>
      <c r="AM162" s="116" t="s">
        <v>429</v>
      </c>
      <c r="AN162" s="116" t="s">
        <v>713</v>
      </c>
      <c r="AO162" s="120">
        <v>43316</v>
      </c>
      <c r="AP162" s="116" t="s">
        <v>111</v>
      </c>
      <c r="AQ162" s="116">
        <v>33</v>
      </c>
      <c r="AR162" s="121" t="s">
        <v>545</v>
      </c>
      <c r="AS162" s="122">
        <v>43313</v>
      </c>
      <c r="AT162" s="123"/>
      <c r="AU162" s="116"/>
      <c r="AV162" s="124"/>
      <c r="AW162" s="123"/>
      <c r="AX162" s="116" t="s">
        <v>1368</v>
      </c>
    </row>
    <row r="163" spans="1:50" ht="15" hidden="1">
      <c r="A163" s="116" t="s">
        <v>1543</v>
      </c>
      <c r="B163" s="116" t="s">
        <v>90</v>
      </c>
      <c r="C163" s="116" t="s">
        <v>91</v>
      </c>
      <c r="D163" s="117">
        <v>7882.55</v>
      </c>
      <c r="E163" s="118">
        <v>1948.98</v>
      </c>
      <c r="F163" s="118">
        <v>7882.55</v>
      </c>
      <c r="G163" s="118">
        <v>7882.55</v>
      </c>
      <c r="H163" s="118">
        <v>0</v>
      </c>
      <c r="I163" s="118">
        <v>-1788.45</v>
      </c>
      <c r="J163" s="118">
        <v>0</v>
      </c>
      <c r="K163" s="118">
        <v>-15658</v>
      </c>
      <c r="L163" s="118">
        <v>0</v>
      </c>
      <c r="M163" s="118">
        <v>3735</v>
      </c>
      <c r="N163" s="118">
        <v>-13711.45</v>
      </c>
      <c r="O163" s="119">
        <v>0</v>
      </c>
      <c r="P163" s="119">
        <v>0</v>
      </c>
      <c r="Q163" s="119">
        <v>0</v>
      </c>
      <c r="R163" s="119">
        <v>0</v>
      </c>
      <c r="S163" s="119">
        <v>0</v>
      </c>
      <c r="T163" s="116" t="s">
        <v>941</v>
      </c>
      <c r="U163" s="116" t="s">
        <v>92</v>
      </c>
      <c r="V163" s="116" t="s">
        <v>240</v>
      </c>
      <c r="W163" s="116">
        <v>20171231</v>
      </c>
      <c r="X163" s="116">
        <v>20181230</v>
      </c>
      <c r="Y163" s="116"/>
      <c r="Z163" s="116" t="s">
        <v>922</v>
      </c>
      <c r="AA163" s="116" t="s">
        <v>105</v>
      </c>
      <c r="AB163" s="116" t="s">
        <v>1210</v>
      </c>
      <c r="AC163" s="116" t="s">
        <v>106</v>
      </c>
      <c r="AD163" s="116">
        <v>2016</v>
      </c>
      <c r="AE163" s="116" t="s">
        <v>96</v>
      </c>
      <c r="AF163" s="116" t="s">
        <v>1211</v>
      </c>
      <c r="AG163" s="116" t="s">
        <v>1273</v>
      </c>
      <c r="AH163" s="116" t="s">
        <v>1274</v>
      </c>
      <c r="AI163" s="116" t="s">
        <v>119</v>
      </c>
      <c r="AJ163" s="116" t="s">
        <v>1275</v>
      </c>
      <c r="AK163" s="116" t="s">
        <v>106</v>
      </c>
      <c r="AL163" s="116" t="s">
        <v>129</v>
      </c>
      <c r="AM163" s="116" t="s">
        <v>674</v>
      </c>
      <c r="AN163" s="116" t="s">
        <v>675</v>
      </c>
      <c r="AO163" s="120">
        <v>43318</v>
      </c>
      <c r="AP163" s="116" t="s">
        <v>111</v>
      </c>
      <c r="AQ163" s="116">
        <v>33</v>
      </c>
      <c r="AR163" s="121" t="s">
        <v>545</v>
      </c>
      <c r="AS163" s="122">
        <v>43313</v>
      </c>
      <c r="AT163" s="123"/>
      <c r="AU163" s="116"/>
      <c r="AV163" s="124"/>
      <c r="AW163" s="123"/>
      <c r="AX163" s="116" t="s">
        <v>1274</v>
      </c>
    </row>
    <row r="164" spans="1:50" ht="15" hidden="1">
      <c r="A164" s="116" t="s">
        <v>1543</v>
      </c>
      <c r="B164" s="116" t="s">
        <v>90</v>
      </c>
      <c r="C164" s="116" t="s">
        <v>91</v>
      </c>
      <c r="D164" s="117">
        <v>0</v>
      </c>
      <c r="E164" s="118">
        <v>1320.98</v>
      </c>
      <c r="F164" s="118">
        <v>0</v>
      </c>
      <c r="G164" s="118">
        <v>0</v>
      </c>
      <c r="H164" s="118">
        <v>2389.77</v>
      </c>
      <c r="I164" s="118">
        <v>653.82000000000005</v>
      </c>
      <c r="J164" s="118">
        <v>0</v>
      </c>
      <c r="K164" s="118">
        <v>0</v>
      </c>
      <c r="L164" s="118">
        <v>0</v>
      </c>
      <c r="M164" s="118">
        <v>1969</v>
      </c>
      <c r="N164" s="118">
        <v>5012.59</v>
      </c>
      <c r="O164" s="119">
        <v>2389.77</v>
      </c>
      <c r="P164" s="119">
        <v>0</v>
      </c>
      <c r="Q164" s="119">
        <v>0</v>
      </c>
      <c r="R164" s="119">
        <v>0</v>
      </c>
      <c r="S164" s="119">
        <v>0</v>
      </c>
      <c r="T164" s="116" t="s">
        <v>1547</v>
      </c>
      <c r="U164" s="116" t="s">
        <v>92</v>
      </c>
      <c r="V164" s="116" t="s">
        <v>240</v>
      </c>
      <c r="W164" s="116">
        <v>20171231</v>
      </c>
      <c r="X164" s="116">
        <v>20181230</v>
      </c>
      <c r="Y164" s="116"/>
      <c r="Z164" s="116" t="s">
        <v>922</v>
      </c>
      <c r="AA164" s="116" t="s">
        <v>105</v>
      </c>
      <c r="AB164" s="116" t="s">
        <v>923</v>
      </c>
      <c r="AC164" s="116" t="s">
        <v>114</v>
      </c>
      <c r="AD164" s="116">
        <v>2017</v>
      </c>
      <c r="AE164" s="116" t="s">
        <v>96</v>
      </c>
      <c r="AF164" s="116" t="s">
        <v>954</v>
      </c>
      <c r="AG164" s="116" t="s">
        <v>1607</v>
      </c>
      <c r="AH164" s="116" t="s">
        <v>1078</v>
      </c>
      <c r="AI164" s="116" t="s">
        <v>162</v>
      </c>
      <c r="AJ164" s="116" t="s">
        <v>1608</v>
      </c>
      <c r="AK164" s="116" t="s">
        <v>114</v>
      </c>
      <c r="AL164" s="116" t="s">
        <v>129</v>
      </c>
      <c r="AM164" s="116" t="s">
        <v>315</v>
      </c>
      <c r="AN164" s="116" t="s">
        <v>789</v>
      </c>
      <c r="AO164" s="120">
        <v>43318</v>
      </c>
      <c r="AP164" s="116" t="s">
        <v>790</v>
      </c>
      <c r="AQ164" s="116">
        <v>33</v>
      </c>
      <c r="AR164" s="121" t="s">
        <v>545</v>
      </c>
      <c r="AS164" s="122">
        <v>43313</v>
      </c>
      <c r="AT164" s="123"/>
      <c r="AU164" s="116"/>
      <c r="AV164" s="124"/>
      <c r="AW164" s="123"/>
      <c r="AX164" s="116" t="s">
        <v>1078</v>
      </c>
    </row>
    <row r="165" spans="1:50" ht="15" hidden="1">
      <c r="A165" s="116" t="s">
        <v>1549</v>
      </c>
      <c r="B165" s="116" t="s">
        <v>90</v>
      </c>
      <c r="C165" s="116" t="s">
        <v>91</v>
      </c>
      <c r="D165" s="117">
        <v>0</v>
      </c>
      <c r="E165" s="118">
        <v>1320.98</v>
      </c>
      <c r="F165" s="118">
        <v>0</v>
      </c>
      <c r="G165" s="118">
        <v>0</v>
      </c>
      <c r="H165" s="118">
        <v>0</v>
      </c>
      <c r="I165" s="118">
        <v>-2348.6999999999998</v>
      </c>
      <c r="J165" s="118">
        <v>0</v>
      </c>
      <c r="K165" s="118">
        <v>-15658</v>
      </c>
      <c r="L165" s="118">
        <v>0</v>
      </c>
      <c r="M165" s="118">
        <v>0</v>
      </c>
      <c r="N165" s="118">
        <v>-18006.7</v>
      </c>
      <c r="O165" s="119">
        <v>0</v>
      </c>
      <c r="P165" s="119">
        <v>0</v>
      </c>
      <c r="Q165" s="119">
        <v>0</v>
      </c>
      <c r="R165" s="119">
        <v>0</v>
      </c>
      <c r="S165" s="119">
        <v>0</v>
      </c>
      <c r="T165" s="116" t="s">
        <v>1550</v>
      </c>
      <c r="U165" s="116" t="s">
        <v>92</v>
      </c>
      <c r="V165" s="116" t="s">
        <v>241</v>
      </c>
      <c r="W165" s="116">
        <v>20171231</v>
      </c>
      <c r="X165" s="116">
        <v>20181230</v>
      </c>
      <c r="Y165" s="116"/>
      <c r="Z165" s="116" t="s">
        <v>922</v>
      </c>
      <c r="AA165" s="116" t="s">
        <v>105</v>
      </c>
      <c r="AB165" s="116" t="s">
        <v>923</v>
      </c>
      <c r="AC165" s="116" t="s">
        <v>137</v>
      </c>
      <c r="AD165" s="116">
        <v>2016</v>
      </c>
      <c r="AE165" s="116" t="s">
        <v>96</v>
      </c>
      <c r="AF165" s="116" t="s">
        <v>954</v>
      </c>
      <c r="AG165" s="116" t="s">
        <v>1159</v>
      </c>
      <c r="AH165" s="116" t="s">
        <v>1156</v>
      </c>
      <c r="AI165" s="116" t="s">
        <v>108</v>
      </c>
      <c r="AJ165" s="116" t="s">
        <v>1160</v>
      </c>
      <c r="AK165" s="116" t="s">
        <v>137</v>
      </c>
      <c r="AL165" s="116" t="s">
        <v>129</v>
      </c>
      <c r="AM165" s="116" t="s">
        <v>321</v>
      </c>
      <c r="AN165" s="116" t="s">
        <v>630</v>
      </c>
      <c r="AO165" s="120">
        <v>43319</v>
      </c>
      <c r="AP165" s="116" t="s">
        <v>111</v>
      </c>
      <c r="AQ165" s="116">
        <v>33</v>
      </c>
      <c r="AR165" s="121" t="s">
        <v>554</v>
      </c>
      <c r="AS165" s="122">
        <v>43313</v>
      </c>
      <c r="AT165" s="123"/>
      <c r="AU165" s="116"/>
      <c r="AV165" s="124"/>
      <c r="AW165" s="123"/>
      <c r="AX165" s="116" t="s">
        <v>1156</v>
      </c>
    </row>
    <row r="166" spans="1:50" ht="15" hidden="1">
      <c r="A166" s="116" t="s">
        <v>1554</v>
      </c>
      <c r="B166" s="116" t="s">
        <v>90</v>
      </c>
      <c r="C166" s="116" t="s">
        <v>91</v>
      </c>
      <c r="D166" s="117">
        <v>0</v>
      </c>
      <c r="E166" s="118">
        <v>649.66</v>
      </c>
      <c r="F166" s="118">
        <v>0</v>
      </c>
      <c r="G166" s="118">
        <v>0</v>
      </c>
      <c r="H166" s="118">
        <v>3250</v>
      </c>
      <c r="I166" s="118">
        <v>487.5</v>
      </c>
      <c r="J166" s="118">
        <v>0</v>
      </c>
      <c r="K166" s="118">
        <v>0</v>
      </c>
      <c r="L166" s="118">
        <v>0</v>
      </c>
      <c r="M166" s="118">
        <v>0</v>
      </c>
      <c r="N166" s="118">
        <v>3737.5</v>
      </c>
      <c r="O166" s="119">
        <v>0</v>
      </c>
      <c r="P166" s="119">
        <v>0</v>
      </c>
      <c r="Q166" s="119">
        <v>0</v>
      </c>
      <c r="R166" s="119">
        <v>3250</v>
      </c>
      <c r="S166" s="119">
        <v>0</v>
      </c>
      <c r="T166" s="116" t="s">
        <v>1059</v>
      </c>
      <c r="U166" s="116" t="s">
        <v>92</v>
      </c>
      <c r="V166" s="116" t="s">
        <v>243</v>
      </c>
      <c r="W166" s="116">
        <v>20171231</v>
      </c>
      <c r="X166" s="116">
        <v>20181230</v>
      </c>
      <c r="Y166" s="116"/>
      <c r="Z166" s="116" t="s">
        <v>922</v>
      </c>
      <c r="AA166" s="116" t="s">
        <v>105</v>
      </c>
      <c r="AB166" s="116" t="s">
        <v>923</v>
      </c>
      <c r="AC166" s="116" t="s">
        <v>104</v>
      </c>
      <c r="AD166" s="116">
        <v>2016</v>
      </c>
      <c r="AE166" s="116" t="s">
        <v>96</v>
      </c>
      <c r="AF166" s="116" t="s">
        <v>954</v>
      </c>
      <c r="AG166" s="116" t="s">
        <v>960</v>
      </c>
      <c r="AH166" s="116" t="s">
        <v>961</v>
      </c>
      <c r="AI166" s="116" t="s">
        <v>108</v>
      </c>
      <c r="AJ166" s="116" t="s">
        <v>962</v>
      </c>
      <c r="AK166" s="116" t="s">
        <v>104</v>
      </c>
      <c r="AL166" s="116" t="s">
        <v>129</v>
      </c>
      <c r="AM166" s="116" t="s">
        <v>559</v>
      </c>
      <c r="AN166" s="116" t="s">
        <v>560</v>
      </c>
      <c r="AO166" s="120">
        <v>43320</v>
      </c>
      <c r="AP166" s="116" t="s">
        <v>111</v>
      </c>
      <c r="AQ166" s="116">
        <v>33</v>
      </c>
      <c r="AR166" s="121" t="s">
        <v>554</v>
      </c>
      <c r="AS166" s="122">
        <v>43313</v>
      </c>
      <c r="AT166" s="123"/>
      <c r="AU166" s="116"/>
      <c r="AV166" s="124"/>
      <c r="AW166" s="123"/>
      <c r="AX166" s="116" t="s">
        <v>961</v>
      </c>
    </row>
    <row r="167" spans="1:50" ht="15" hidden="1">
      <c r="A167" s="116" t="s">
        <v>1558</v>
      </c>
      <c r="B167" s="116" t="s">
        <v>90</v>
      </c>
      <c r="C167" s="116" t="s">
        <v>91</v>
      </c>
      <c r="D167" s="117">
        <v>0</v>
      </c>
      <c r="E167" s="118">
        <v>707.44</v>
      </c>
      <c r="F167" s="118">
        <v>0</v>
      </c>
      <c r="G167" s="118">
        <v>0</v>
      </c>
      <c r="H167" s="118">
        <v>6785.83</v>
      </c>
      <c r="I167" s="118">
        <v>-1532.13</v>
      </c>
      <c r="J167" s="118">
        <v>0</v>
      </c>
      <c r="K167" s="118">
        <v>-17000</v>
      </c>
      <c r="L167" s="118">
        <v>0</v>
      </c>
      <c r="M167" s="118">
        <v>0</v>
      </c>
      <c r="N167" s="118">
        <v>-11746.3</v>
      </c>
      <c r="O167" s="119">
        <v>6785.83</v>
      </c>
      <c r="P167" s="119">
        <v>0</v>
      </c>
      <c r="Q167" s="119">
        <v>0</v>
      </c>
      <c r="R167" s="119">
        <v>0</v>
      </c>
      <c r="S167" s="119">
        <v>0</v>
      </c>
      <c r="T167" s="116" t="s">
        <v>1559</v>
      </c>
      <c r="U167" s="116" t="s">
        <v>92</v>
      </c>
      <c r="V167" s="116" t="s">
        <v>246</v>
      </c>
      <c r="W167" s="116">
        <v>20171231</v>
      </c>
      <c r="X167" s="116">
        <v>20181230</v>
      </c>
      <c r="Y167" s="116"/>
      <c r="Z167" s="116" t="s">
        <v>922</v>
      </c>
      <c r="AA167" s="116" t="s">
        <v>105</v>
      </c>
      <c r="AB167" s="116" t="s">
        <v>923</v>
      </c>
      <c r="AC167" s="116" t="s">
        <v>161</v>
      </c>
      <c r="AD167" s="116">
        <v>2016</v>
      </c>
      <c r="AE167" s="116" t="s">
        <v>96</v>
      </c>
      <c r="AF167" s="116" t="s">
        <v>954</v>
      </c>
      <c r="AG167" s="116" t="s">
        <v>1257</v>
      </c>
      <c r="AH167" s="116" t="s">
        <v>1258</v>
      </c>
      <c r="AI167" s="116" t="s">
        <v>108</v>
      </c>
      <c r="AJ167" s="116" t="s">
        <v>1259</v>
      </c>
      <c r="AK167" s="116" t="s">
        <v>131</v>
      </c>
      <c r="AL167" s="116" t="s">
        <v>129</v>
      </c>
      <c r="AM167" s="116" t="s">
        <v>668</v>
      </c>
      <c r="AN167" s="116" t="s">
        <v>669</v>
      </c>
      <c r="AO167" s="120">
        <v>43320</v>
      </c>
      <c r="AP167" s="116" t="s">
        <v>111</v>
      </c>
      <c r="AQ167" s="116">
        <v>33</v>
      </c>
      <c r="AR167" s="121" t="s">
        <v>545</v>
      </c>
      <c r="AS167" s="122">
        <v>43313</v>
      </c>
      <c r="AT167" s="123"/>
      <c r="AU167" s="116"/>
      <c r="AV167" s="124"/>
      <c r="AW167" s="123"/>
      <c r="AX167" s="116" t="s">
        <v>1258</v>
      </c>
    </row>
    <row r="168" spans="1:50" ht="15" hidden="1">
      <c r="A168" s="116" t="s">
        <v>1563</v>
      </c>
      <c r="B168" s="116" t="s">
        <v>90</v>
      </c>
      <c r="C168" s="116" t="s">
        <v>91</v>
      </c>
      <c r="D168" s="117">
        <v>0</v>
      </c>
      <c r="E168" s="118">
        <v>1320.98</v>
      </c>
      <c r="F168" s="118">
        <v>0</v>
      </c>
      <c r="G168" s="118">
        <v>0</v>
      </c>
      <c r="H168" s="118">
        <v>2021.9</v>
      </c>
      <c r="I168" s="118">
        <v>303.29000000000002</v>
      </c>
      <c r="J168" s="118">
        <v>0</v>
      </c>
      <c r="K168" s="118">
        <v>0</v>
      </c>
      <c r="L168" s="118">
        <v>0</v>
      </c>
      <c r="M168" s="118">
        <v>0</v>
      </c>
      <c r="N168" s="118">
        <v>2325.19</v>
      </c>
      <c r="O168" s="119">
        <v>0</v>
      </c>
      <c r="P168" s="119">
        <v>0</v>
      </c>
      <c r="Q168" s="119">
        <v>0</v>
      </c>
      <c r="R168" s="119">
        <v>2021.9</v>
      </c>
      <c r="S168" s="119">
        <v>0</v>
      </c>
      <c r="T168" s="116" t="s">
        <v>1564</v>
      </c>
      <c r="U168" s="116" t="s">
        <v>92</v>
      </c>
      <c r="V168" s="116" t="s">
        <v>247</v>
      </c>
      <c r="W168" s="116">
        <v>20171231</v>
      </c>
      <c r="X168" s="116">
        <v>20181230</v>
      </c>
      <c r="Y168" s="116"/>
      <c r="Z168" s="116" t="s">
        <v>922</v>
      </c>
      <c r="AA168" s="116" t="s">
        <v>105</v>
      </c>
      <c r="AB168" s="116" t="s">
        <v>1210</v>
      </c>
      <c r="AC168" s="116" t="s">
        <v>106</v>
      </c>
      <c r="AD168" s="116">
        <v>2018</v>
      </c>
      <c r="AE168" s="116" t="s">
        <v>96</v>
      </c>
      <c r="AF168" s="116" t="s">
        <v>1211</v>
      </c>
      <c r="AG168" s="116" t="s">
        <v>1760</v>
      </c>
      <c r="AH168" s="116" t="s">
        <v>1758</v>
      </c>
      <c r="AI168" s="116" t="s">
        <v>108</v>
      </c>
      <c r="AJ168" s="116" t="s">
        <v>1761</v>
      </c>
      <c r="AK168" s="116" t="s">
        <v>200</v>
      </c>
      <c r="AL168" s="116" t="s">
        <v>129</v>
      </c>
      <c r="AM168" s="116" t="s">
        <v>844</v>
      </c>
      <c r="AN168" s="116" t="s">
        <v>845</v>
      </c>
      <c r="AO168" s="120">
        <v>43320</v>
      </c>
      <c r="AP168" s="116" t="s">
        <v>111</v>
      </c>
      <c r="AQ168" s="116">
        <v>33</v>
      </c>
      <c r="AR168" s="121" t="s">
        <v>554</v>
      </c>
      <c r="AS168" s="122">
        <v>43313</v>
      </c>
      <c r="AT168" s="123"/>
      <c r="AU168" s="116"/>
      <c r="AV168" s="124"/>
      <c r="AW168" s="123"/>
      <c r="AX168" s="116" t="s">
        <v>1758</v>
      </c>
    </row>
    <row r="169" spans="1:50" ht="15" hidden="1">
      <c r="A169" s="116" t="s">
        <v>1567</v>
      </c>
      <c r="B169" s="116" t="s">
        <v>90</v>
      </c>
      <c r="C169" s="116" t="s">
        <v>91</v>
      </c>
      <c r="D169" s="117">
        <v>0</v>
      </c>
      <c r="E169" s="118">
        <v>1294.93</v>
      </c>
      <c r="F169" s="118">
        <v>0</v>
      </c>
      <c r="G169" s="118">
        <v>0</v>
      </c>
      <c r="H169" s="118">
        <v>9553.2000000000007</v>
      </c>
      <c r="I169" s="118">
        <v>1432.98</v>
      </c>
      <c r="J169" s="118">
        <v>0</v>
      </c>
      <c r="K169" s="118">
        <v>0</v>
      </c>
      <c r="L169" s="118">
        <v>0</v>
      </c>
      <c r="M169" s="118">
        <v>0</v>
      </c>
      <c r="N169" s="118">
        <v>10986.18</v>
      </c>
      <c r="O169" s="119">
        <v>9553.2000000000007</v>
      </c>
      <c r="P169" s="119">
        <v>0</v>
      </c>
      <c r="Q169" s="119">
        <v>0</v>
      </c>
      <c r="R169" s="119">
        <v>0</v>
      </c>
      <c r="S169" s="119">
        <v>0</v>
      </c>
      <c r="T169" s="116" t="s">
        <v>953</v>
      </c>
      <c r="U169" s="116" t="s">
        <v>92</v>
      </c>
      <c r="V169" s="116" t="s">
        <v>248</v>
      </c>
      <c r="W169" s="116">
        <v>20171231</v>
      </c>
      <c r="X169" s="116">
        <v>20181230</v>
      </c>
      <c r="Y169" s="116"/>
      <c r="Z169" s="116" t="s">
        <v>922</v>
      </c>
      <c r="AA169" s="116" t="s">
        <v>105</v>
      </c>
      <c r="AB169" s="116" t="s">
        <v>923</v>
      </c>
      <c r="AC169" s="116" t="s">
        <v>104</v>
      </c>
      <c r="AD169" s="116">
        <v>2017</v>
      </c>
      <c r="AE169" s="116" t="s">
        <v>96</v>
      </c>
      <c r="AF169" s="116" t="s">
        <v>954</v>
      </c>
      <c r="AG169" s="116" t="s">
        <v>1492</v>
      </c>
      <c r="AH169" s="116" t="s">
        <v>1493</v>
      </c>
      <c r="AI169" s="116" t="s">
        <v>162</v>
      </c>
      <c r="AJ169" s="116" t="s">
        <v>1494</v>
      </c>
      <c r="AK169" s="116" t="s">
        <v>104</v>
      </c>
      <c r="AL169" s="116" t="s">
        <v>129</v>
      </c>
      <c r="AM169" s="116" t="s">
        <v>396</v>
      </c>
      <c r="AN169" s="116" t="s">
        <v>754</v>
      </c>
      <c r="AO169" s="120">
        <v>43322</v>
      </c>
      <c r="AP169" s="116" t="s">
        <v>111</v>
      </c>
      <c r="AQ169" s="116">
        <v>33</v>
      </c>
      <c r="AR169" s="121" t="s">
        <v>545</v>
      </c>
      <c r="AS169" s="122">
        <v>43313</v>
      </c>
      <c r="AT169" s="123"/>
      <c r="AU169" s="116"/>
      <c r="AV169" s="124"/>
      <c r="AW169" s="123"/>
      <c r="AX169" s="116" t="s">
        <v>1493</v>
      </c>
    </row>
    <row r="170" spans="1:50" ht="15" hidden="1">
      <c r="A170" s="116" t="s">
        <v>1567</v>
      </c>
      <c r="B170" s="116" t="s">
        <v>90</v>
      </c>
      <c r="C170" s="116" t="s">
        <v>91</v>
      </c>
      <c r="D170" s="117">
        <v>0</v>
      </c>
      <c r="E170" s="118">
        <v>647.46</v>
      </c>
      <c r="F170" s="118">
        <v>0</v>
      </c>
      <c r="G170" s="118">
        <v>0</v>
      </c>
      <c r="H170" s="118">
        <v>800</v>
      </c>
      <c r="I170" s="118">
        <v>120</v>
      </c>
      <c r="J170" s="118">
        <v>0</v>
      </c>
      <c r="K170" s="118">
        <v>0</v>
      </c>
      <c r="L170" s="118">
        <v>0</v>
      </c>
      <c r="M170" s="118">
        <v>0</v>
      </c>
      <c r="N170" s="118">
        <v>920</v>
      </c>
      <c r="O170" s="119">
        <v>0</v>
      </c>
      <c r="P170" s="119">
        <v>0</v>
      </c>
      <c r="Q170" s="119">
        <v>0</v>
      </c>
      <c r="R170" s="119">
        <v>800</v>
      </c>
      <c r="S170" s="119">
        <v>0</v>
      </c>
      <c r="T170" s="116" t="s">
        <v>1189</v>
      </c>
      <c r="U170" s="116" t="s">
        <v>92</v>
      </c>
      <c r="V170" s="116" t="s">
        <v>248</v>
      </c>
      <c r="W170" s="116">
        <v>20171231</v>
      </c>
      <c r="X170" s="116">
        <v>20181230</v>
      </c>
      <c r="Y170" s="116"/>
      <c r="Z170" s="116" t="s">
        <v>922</v>
      </c>
      <c r="AA170" s="116" t="s">
        <v>105</v>
      </c>
      <c r="AB170" s="116" t="s">
        <v>923</v>
      </c>
      <c r="AC170" s="116" t="s">
        <v>106</v>
      </c>
      <c r="AD170" s="116">
        <v>2018</v>
      </c>
      <c r="AE170" s="116" t="s">
        <v>96</v>
      </c>
      <c r="AF170" s="116" t="s">
        <v>289</v>
      </c>
      <c r="AG170" s="116" t="s">
        <v>2002</v>
      </c>
      <c r="AH170" s="116" t="s">
        <v>509</v>
      </c>
      <c r="AI170" s="116" t="s">
        <v>119</v>
      </c>
      <c r="AJ170" s="116" t="s">
        <v>2003</v>
      </c>
      <c r="AK170" s="116" t="s">
        <v>106</v>
      </c>
      <c r="AL170" s="116" t="s">
        <v>129</v>
      </c>
      <c r="AM170" s="116" t="s">
        <v>915</v>
      </c>
      <c r="AN170" s="116" t="s">
        <v>916</v>
      </c>
      <c r="AO170" s="120">
        <v>43322</v>
      </c>
      <c r="AP170" s="116" t="s">
        <v>111</v>
      </c>
      <c r="AQ170" s="116">
        <v>33</v>
      </c>
      <c r="AR170" s="121" t="s">
        <v>545</v>
      </c>
      <c r="AS170" s="122">
        <v>43313</v>
      </c>
      <c r="AT170" s="123"/>
      <c r="AU170" s="116"/>
      <c r="AV170" s="124"/>
      <c r="AW170" s="123"/>
      <c r="AX170" s="116" t="s">
        <v>509</v>
      </c>
    </row>
    <row r="171" spans="1:50" ht="15" hidden="1">
      <c r="A171" s="116" t="s">
        <v>1574</v>
      </c>
      <c r="B171" s="116" t="s">
        <v>90</v>
      </c>
      <c r="C171" s="116" t="s">
        <v>91</v>
      </c>
      <c r="D171" s="117">
        <v>0</v>
      </c>
      <c r="E171" s="118">
        <v>1921.5</v>
      </c>
      <c r="F171" s="118">
        <v>0</v>
      </c>
      <c r="G171" s="118">
        <v>0</v>
      </c>
      <c r="H171" s="118">
        <v>18908</v>
      </c>
      <c r="I171" s="118">
        <v>2836.2</v>
      </c>
      <c r="J171" s="118">
        <v>0</v>
      </c>
      <c r="K171" s="118">
        <v>0</v>
      </c>
      <c r="L171" s="118">
        <v>0</v>
      </c>
      <c r="M171" s="118">
        <v>0</v>
      </c>
      <c r="N171" s="118">
        <v>21744.2</v>
      </c>
      <c r="O171" s="119">
        <v>0</v>
      </c>
      <c r="P171" s="119">
        <v>3250</v>
      </c>
      <c r="Q171" s="119">
        <v>0</v>
      </c>
      <c r="R171" s="119">
        <v>15658</v>
      </c>
      <c r="S171" s="119">
        <v>0</v>
      </c>
      <c r="T171" s="116" t="s">
        <v>1252</v>
      </c>
      <c r="U171" s="116" t="s">
        <v>92</v>
      </c>
      <c r="V171" s="116" t="s">
        <v>249</v>
      </c>
      <c r="W171" s="116">
        <v>20171231</v>
      </c>
      <c r="X171" s="116">
        <v>20181230</v>
      </c>
      <c r="Y171" s="116"/>
      <c r="Z171" s="116" t="s">
        <v>922</v>
      </c>
      <c r="AA171" s="116" t="s">
        <v>105</v>
      </c>
      <c r="AB171" s="116" t="s">
        <v>923</v>
      </c>
      <c r="AC171" s="116" t="s">
        <v>131</v>
      </c>
      <c r="AD171" s="116">
        <v>2016</v>
      </c>
      <c r="AE171" s="116" t="s">
        <v>96</v>
      </c>
      <c r="AF171" s="116" t="s">
        <v>954</v>
      </c>
      <c r="AG171" s="116" t="s">
        <v>1070</v>
      </c>
      <c r="AH171" s="116" t="s">
        <v>464</v>
      </c>
      <c r="AI171" s="116" t="s">
        <v>119</v>
      </c>
      <c r="AJ171" s="116" t="s">
        <v>1071</v>
      </c>
      <c r="AK171" s="116" t="s">
        <v>131</v>
      </c>
      <c r="AL171" s="116" t="s">
        <v>129</v>
      </c>
      <c r="AM171" s="116" t="s">
        <v>599</v>
      </c>
      <c r="AN171" s="116" t="s">
        <v>600</v>
      </c>
      <c r="AO171" s="120">
        <v>43325</v>
      </c>
      <c r="AP171" s="116" t="s">
        <v>111</v>
      </c>
      <c r="AQ171" s="116">
        <v>33</v>
      </c>
      <c r="AR171" s="121" t="s">
        <v>545</v>
      </c>
      <c r="AS171" s="122">
        <v>43313</v>
      </c>
      <c r="AT171" s="123"/>
      <c r="AU171" s="116"/>
      <c r="AV171" s="124"/>
      <c r="AW171" s="123"/>
      <c r="AX171" s="116" t="s">
        <v>464</v>
      </c>
    </row>
    <row r="172" spans="1:50" ht="15" hidden="1">
      <c r="A172" s="116" t="s">
        <v>1578</v>
      </c>
      <c r="B172" s="116" t="s">
        <v>90</v>
      </c>
      <c r="C172" s="116" t="s">
        <v>91</v>
      </c>
      <c r="D172" s="117">
        <v>0</v>
      </c>
      <c r="E172" s="118">
        <v>671.32</v>
      </c>
      <c r="F172" s="118">
        <v>0</v>
      </c>
      <c r="G172" s="118">
        <v>0</v>
      </c>
      <c r="H172" s="118">
        <v>15658</v>
      </c>
      <c r="I172" s="118">
        <v>2348.6999999999998</v>
      </c>
      <c r="J172" s="118">
        <v>0</v>
      </c>
      <c r="K172" s="118">
        <v>0</v>
      </c>
      <c r="L172" s="118">
        <v>0</v>
      </c>
      <c r="M172" s="118">
        <v>0</v>
      </c>
      <c r="N172" s="118">
        <v>18006.7</v>
      </c>
      <c r="O172" s="119">
        <v>0</v>
      </c>
      <c r="P172" s="119">
        <v>0</v>
      </c>
      <c r="Q172" s="119">
        <v>0</v>
      </c>
      <c r="R172" s="119">
        <v>15658</v>
      </c>
      <c r="S172" s="119">
        <v>0</v>
      </c>
      <c r="T172" s="116" t="s">
        <v>1330</v>
      </c>
      <c r="U172" s="116" t="s">
        <v>92</v>
      </c>
      <c r="V172" s="116" t="s">
        <v>250</v>
      </c>
      <c r="W172" s="116">
        <v>20171231</v>
      </c>
      <c r="X172" s="116">
        <v>20181230</v>
      </c>
      <c r="Y172" s="116"/>
      <c r="Z172" s="116" t="s">
        <v>922</v>
      </c>
      <c r="AA172" s="116" t="s">
        <v>105</v>
      </c>
      <c r="AB172" s="116" t="s">
        <v>923</v>
      </c>
      <c r="AC172" s="116" t="s">
        <v>104</v>
      </c>
      <c r="AD172" s="116">
        <v>2017</v>
      </c>
      <c r="AE172" s="116" t="s">
        <v>96</v>
      </c>
      <c r="AF172" s="116" t="s">
        <v>954</v>
      </c>
      <c r="AG172" s="116" t="s">
        <v>1675</v>
      </c>
      <c r="AH172" s="116" t="s">
        <v>1676</v>
      </c>
      <c r="AI172" s="116" t="s">
        <v>119</v>
      </c>
      <c r="AJ172" s="116" t="s">
        <v>1677</v>
      </c>
      <c r="AK172" s="116" t="s">
        <v>104</v>
      </c>
      <c r="AL172" s="116" t="s">
        <v>129</v>
      </c>
      <c r="AM172" s="116" t="s">
        <v>815</v>
      </c>
      <c r="AN172" s="116" t="s">
        <v>816</v>
      </c>
      <c r="AO172" s="120">
        <v>43325</v>
      </c>
      <c r="AP172" s="116" t="s">
        <v>111</v>
      </c>
      <c r="AQ172" s="116">
        <v>33</v>
      </c>
      <c r="AR172" s="121" t="s">
        <v>554</v>
      </c>
      <c r="AS172" s="122">
        <v>43313</v>
      </c>
      <c r="AT172" s="123"/>
      <c r="AU172" s="116"/>
      <c r="AV172" s="124"/>
      <c r="AW172" s="123"/>
      <c r="AX172" s="116" t="s">
        <v>1676</v>
      </c>
    </row>
    <row r="173" spans="1:50" ht="15" hidden="1">
      <c r="A173" s="116" t="s">
        <v>1582</v>
      </c>
      <c r="B173" s="116" t="s">
        <v>90</v>
      </c>
      <c r="C173" s="116" t="s">
        <v>91</v>
      </c>
      <c r="D173" s="117">
        <v>0</v>
      </c>
      <c r="E173" s="118">
        <v>1545.97</v>
      </c>
      <c r="F173" s="118">
        <v>0</v>
      </c>
      <c r="G173" s="118">
        <v>0</v>
      </c>
      <c r="H173" s="118">
        <v>15658</v>
      </c>
      <c r="I173" s="118">
        <v>2808.7</v>
      </c>
      <c r="J173" s="118">
        <v>0</v>
      </c>
      <c r="K173" s="118">
        <v>0</v>
      </c>
      <c r="L173" s="118">
        <v>0</v>
      </c>
      <c r="M173" s="118">
        <v>0</v>
      </c>
      <c r="N173" s="118">
        <v>18466.7</v>
      </c>
      <c r="O173" s="119">
        <v>0</v>
      </c>
      <c r="P173" s="119">
        <v>0</v>
      </c>
      <c r="Q173" s="119">
        <v>0</v>
      </c>
      <c r="R173" s="119">
        <v>15658</v>
      </c>
      <c r="S173" s="119">
        <v>0</v>
      </c>
      <c r="T173" s="116" t="s">
        <v>1583</v>
      </c>
      <c r="U173" s="116" t="s">
        <v>92</v>
      </c>
      <c r="V173" s="116" t="s">
        <v>252</v>
      </c>
      <c r="W173" s="116">
        <v>20171231</v>
      </c>
      <c r="X173" s="116">
        <v>20181230</v>
      </c>
      <c r="Y173" s="116"/>
      <c r="Z173" s="116" t="s">
        <v>922</v>
      </c>
      <c r="AA173" s="116" t="s">
        <v>105</v>
      </c>
      <c r="AB173" s="116" t="s">
        <v>923</v>
      </c>
      <c r="AC173" s="116" t="s">
        <v>106</v>
      </c>
      <c r="AD173" s="116">
        <v>2018</v>
      </c>
      <c r="AE173" s="116" t="s">
        <v>96</v>
      </c>
      <c r="AF173" s="116" t="s">
        <v>1721</v>
      </c>
      <c r="AG173" s="116" t="s">
        <v>1727</v>
      </c>
      <c r="AH173" s="116" t="s">
        <v>1728</v>
      </c>
      <c r="AI173" s="116" t="s">
        <v>162</v>
      </c>
      <c r="AJ173" s="116" t="s">
        <v>1729</v>
      </c>
      <c r="AK173" s="116" t="s">
        <v>106</v>
      </c>
      <c r="AL173" s="116" t="s">
        <v>548</v>
      </c>
      <c r="AM173" s="116" t="s">
        <v>832</v>
      </c>
      <c r="AN173" s="116" t="s">
        <v>833</v>
      </c>
      <c r="AO173" s="120">
        <v>43327</v>
      </c>
      <c r="AP173" s="116" t="s">
        <v>111</v>
      </c>
      <c r="AQ173" s="116">
        <v>33</v>
      </c>
      <c r="AR173" s="121" t="s">
        <v>545</v>
      </c>
      <c r="AS173" s="122">
        <v>43313</v>
      </c>
      <c r="AT173" s="123"/>
      <c r="AU173" s="116"/>
      <c r="AV173" s="124"/>
      <c r="AW173" s="123"/>
      <c r="AX173" s="116" t="s">
        <v>1728</v>
      </c>
    </row>
    <row r="174" spans="1:50" ht="15" hidden="1">
      <c r="A174" s="116" t="s">
        <v>1582</v>
      </c>
      <c r="B174" s="116" t="s">
        <v>90</v>
      </c>
      <c r="C174" s="116" t="s">
        <v>91</v>
      </c>
      <c r="D174" s="117">
        <v>0</v>
      </c>
      <c r="E174" s="118">
        <v>760.31</v>
      </c>
      <c r="F174" s="118">
        <v>0</v>
      </c>
      <c r="G174" s="118">
        <v>0</v>
      </c>
      <c r="H174" s="118">
        <v>8243.2800000000007</v>
      </c>
      <c r="I174" s="118">
        <v>1696.49</v>
      </c>
      <c r="J174" s="118">
        <v>0</v>
      </c>
      <c r="K174" s="118">
        <v>0</v>
      </c>
      <c r="L174" s="118">
        <v>0</v>
      </c>
      <c r="M174" s="118">
        <v>0</v>
      </c>
      <c r="N174" s="118">
        <v>9939.77</v>
      </c>
      <c r="O174" s="119">
        <v>8243.2800000000007</v>
      </c>
      <c r="P174" s="119">
        <v>0</v>
      </c>
      <c r="Q174" s="119">
        <v>0</v>
      </c>
      <c r="R174" s="119">
        <v>0</v>
      </c>
      <c r="S174" s="119">
        <v>0</v>
      </c>
      <c r="T174" s="116" t="s">
        <v>1587</v>
      </c>
      <c r="U174" s="116" t="s">
        <v>92</v>
      </c>
      <c r="V174" s="116" t="s">
        <v>252</v>
      </c>
      <c r="W174" s="116">
        <v>20171231</v>
      </c>
      <c r="X174" s="116">
        <v>20181230</v>
      </c>
      <c r="Y174" s="116"/>
      <c r="Z174" s="116" t="s">
        <v>922</v>
      </c>
      <c r="AA174" s="116" t="s">
        <v>105</v>
      </c>
      <c r="AB174" s="116" t="s">
        <v>923</v>
      </c>
      <c r="AC174" s="116" t="s">
        <v>131</v>
      </c>
      <c r="AD174" s="116">
        <v>2016</v>
      </c>
      <c r="AE174" s="116" t="s">
        <v>96</v>
      </c>
      <c r="AF174" s="116" t="s">
        <v>954</v>
      </c>
      <c r="AG174" s="116" t="s">
        <v>1052</v>
      </c>
      <c r="AH174" s="116" t="s">
        <v>1053</v>
      </c>
      <c r="AI174" s="116" t="s">
        <v>108</v>
      </c>
      <c r="AJ174" s="116" t="s">
        <v>1054</v>
      </c>
      <c r="AK174" s="116" t="s">
        <v>131</v>
      </c>
      <c r="AL174" s="116" t="s">
        <v>129</v>
      </c>
      <c r="AM174" s="116" t="s">
        <v>590</v>
      </c>
      <c r="AN174" s="116" t="s">
        <v>591</v>
      </c>
      <c r="AO174" s="120">
        <v>43332</v>
      </c>
      <c r="AP174" s="116" t="s">
        <v>111</v>
      </c>
      <c r="AQ174" s="116">
        <v>33</v>
      </c>
      <c r="AR174" s="121" t="s">
        <v>554</v>
      </c>
      <c r="AS174" s="122">
        <v>43313</v>
      </c>
      <c r="AT174" s="123"/>
      <c r="AU174" s="116"/>
      <c r="AV174" s="124"/>
      <c r="AW174" s="123"/>
      <c r="AX174" s="116" t="s">
        <v>1053</v>
      </c>
    </row>
    <row r="175" spans="1:50" ht="15" hidden="1">
      <c r="A175" s="116" t="s">
        <v>1591</v>
      </c>
      <c r="B175" s="116" t="s">
        <v>90</v>
      </c>
      <c r="C175" s="116" t="s">
        <v>91</v>
      </c>
      <c r="D175" s="117">
        <v>0</v>
      </c>
      <c r="E175" s="118">
        <v>841.93</v>
      </c>
      <c r="F175" s="118">
        <v>0</v>
      </c>
      <c r="G175" s="118">
        <v>0</v>
      </c>
      <c r="H175" s="118">
        <v>15658</v>
      </c>
      <c r="I175" s="118">
        <v>2348.6999999999998</v>
      </c>
      <c r="J175" s="118">
        <v>0</v>
      </c>
      <c r="K175" s="118">
        <v>0</v>
      </c>
      <c r="L175" s="118">
        <v>0</v>
      </c>
      <c r="M175" s="118">
        <v>0</v>
      </c>
      <c r="N175" s="118">
        <v>18006.7</v>
      </c>
      <c r="O175" s="119">
        <v>0</v>
      </c>
      <c r="P175" s="119">
        <v>0</v>
      </c>
      <c r="Q175" s="119">
        <v>0</v>
      </c>
      <c r="R175" s="119">
        <v>15658</v>
      </c>
      <c r="S175" s="119">
        <v>0</v>
      </c>
      <c r="T175" s="116" t="s">
        <v>929</v>
      </c>
      <c r="U175" s="116" t="s">
        <v>92</v>
      </c>
      <c r="V175" s="116" t="s">
        <v>253</v>
      </c>
      <c r="W175" s="116">
        <v>20171231</v>
      </c>
      <c r="X175" s="116">
        <v>20181230</v>
      </c>
      <c r="Y175" s="116"/>
      <c r="Z175" s="116" t="s">
        <v>922</v>
      </c>
      <c r="AA175" s="116" t="s">
        <v>105</v>
      </c>
      <c r="AB175" s="116" t="s">
        <v>923</v>
      </c>
      <c r="AC175" s="116" t="s">
        <v>114</v>
      </c>
      <c r="AD175" s="116">
        <v>2017</v>
      </c>
      <c r="AE175" s="116" t="s">
        <v>96</v>
      </c>
      <c r="AF175" s="116" t="s">
        <v>954</v>
      </c>
      <c r="AG175" s="116" t="s">
        <v>1401</v>
      </c>
      <c r="AH175" s="116"/>
      <c r="AI175" s="116" t="s">
        <v>108</v>
      </c>
      <c r="AJ175" s="116" t="s">
        <v>1402</v>
      </c>
      <c r="AK175" s="116" t="s">
        <v>114</v>
      </c>
      <c r="AL175" s="116" t="s">
        <v>129</v>
      </c>
      <c r="AM175" s="116" t="s">
        <v>727</v>
      </c>
      <c r="AN175" s="116" t="s">
        <v>728</v>
      </c>
      <c r="AO175" s="120">
        <v>43332</v>
      </c>
      <c r="AP175" s="116" t="s">
        <v>111</v>
      </c>
      <c r="AQ175" s="116">
        <v>33</v>
      </c>
      <c r="AR175" s="125"/>
      <c r="AS175" s="122">
        <v>43313</v>
      </c>
      <c r="AT175" s="123"/>
      <c r="AU175" s="116"/>
      <c r="AV175" s="124"/>
      <c r="AW175" s="123"/>
      <c r="AX175" s="116"/>
    </row>
    <row r="176" spans="1:50" ht="15" hidden="1">
      <c r="A176" s="116" t="s">
        <v>1595</v>
      </c>
      <c r="B176" s="116" t="s">
        <v>90</v>
      </c>
      <c r="C176" s="116" t="s">
        <v>91</v>
      </c>
      <c r="D176" s="117">
        <v>0</v>
      </c>
      <c r="E176" s="118">
        <v>1222.05</v>
      </c>
      <c r="F176" s="118">
        <v>0</v>
      </c>
      <c r="G176" s="118">
        <v>0</v>
      </c>
      <c r="H176" s="118">
        <v>9173.43</v>
      </c>
      <c r="I176" s="118">
        <v>-972.69</v>
      </c>
      <c r="J176" s="118">
        <v>0</v>
      </c>
      <c r="K176" s="118">
        <v>-15658</v>
      </c>
      <c r="L176" s="118">
        <v>0</v>
      </c>
      <c r="M176" s="118">
        <v>0</v>
      </c>
      <c r="N176" s="118">
        <v>-7457.26</v>
      </c>
      <c r="O176" s="119">
        <v>9173.43</v>
      </c>
      <c r="P176" s="119">
        <v>0</v>
      </c>
      <c r="Q176" s="119">
        <v>0</v>
      </c>
      <c r="R176" s="119">
        <v>0</v>
      </c>
      <c r="S176" s="119">
        <v>0</v>
      </c>
      <c r="T176" s="116" t="s">
        <v>982</v>
      </c>
      <c r="U176" s="116" t="s">
        <v>92</v>
      </c>
      <c r="V176" s="116" t="s">
        <v>260</v>
      </c>
      <c r="W176" s="116">
        <v>20171231</v>
      </c>
      <c r="X176" s="116">
        <v>20181230</v>
      </c>
      <c r="Y176" s="116"/>
      <c r="Z176" s="116" t="s">
        <v>922</v>
      </c>
      <c r="AA176" s="116" t="s">
        <v>105</v>
      </c>
      <c r="AB176" s="116" t="s">
        <v>923</v>
      </c>
      <c r="AC176" s="116" t="s">
        <v>114</v>
      </c>
      <c r="AD176" s="116">
        <v>2017</v>
      </c>
      <c r="AE176" s="116" t="s">
        <v>96</v>
      </c>
      <c r="AF176" s="116" t="s">
        <v>954</v>
      </c>
      <c r="AG176" s="116" t="s">
        <v>1425</v>
      </c>
      <c r="AH176" s="116" t="s">
        <v>497</v>
      </c>
      <c r="AI176" s="116" t="s">
        <v>119</v>
      </c>
      <c r="AJ176" s="116" t="s">
        <v>1426</v>
      </c>
      <c r="AK176" s="116" t="s">
        <v>210</v>
      </c>
      <c r="AL176" s="116" t="s">
        <v>129</v>
      </c>
      <c r="AM176" s="116" t="s">
        <v>663</v>
      </c>
      <c r="AN176" s="116"/>
      <c r="AO176" s="120">
        <v>43332</v>
      </c>
      <c r="AP176" s="116" t="s">
        <v>111</v>
      </c>
      <c r="AQ176" s="116">
        <v>33</v>
      </c>
      <c r="AR176" s="125"/>
      <c r="AS176" s="122">
        <v>43313</v>
      </c>
      <c r="AT176" s="123"/>
      <c r="AU176" s="116"/>
      <c r="AV176" s="124"/>
      <c r="AW176" s="123"/>
      <c r="AX176" s="116" t="s">
        <v>497</v>
      </c>
    </row>
    <row r="177" spans="1:50" ht="15" hidden="1">
      <c r="A177" s="116" t="s">
        <v>1599</v>
      </c>
      <c r="B177" s="116" t="s">
        <v>90</v>
      </c>
      <c r="C177" s="116" t="s">
        <v>91</v>
      </c>
      <c r="D177" s="117">
        <v>0</v>
      </c>
      <c r="E177" s="118">
        <v>1312.9</v>
      </c>
      <c r="F177" s="118">
        <v>0</v>
      </c>
      <c r="G177" s="118">
        <v>0</v>
      </c>
      <c r="H177" s="118">
        <v>18101.86</v>
      </c>
      <c r="I177" s="118">
        <v>964.73</v>
      </c>
      <c r="J177" s="118">
        <v>0</v>
      </c>
      <c r="K177" s="118">
        <v>-15658</v>
      </c>
      <c r="L177" s="118">
        <v>0</v>
      </c>
      <c r="M177" s="118">
        <v>1534.32</v>
      </c>
      <c r="N177" s="118">
        <v>4942.91</v>
      </c>
      <c r="O177" s="119">
        <v>7801.86</v>
      </c>
      <c r="P177" s="119">
        <v>10300</v>
      </c>
      <c r="Q177" s="119">
        <v>0</v>
      </c>
      <c r="R177" s="119">
        <v>0</v>
      </c>
      <c r="S177" s="119">
        <v>0</v>
      </c>
      <c r="T177" s="116" t="s">
        <v>1266</v>
      </c>
      <c r="U177" s="116" t="s">
        <v>92</v>
      </c>
      <c r="V177" s="116" t="s">
        <v>261</v>
      </c>
      <c r="W177" s="116">
        <v>20171231</v>
      </c>
      <c r="X177" s="116">
        <v>20181230</v>
      </c>
      <c r="Y177" s="116"/>
      <c r="Z177" s="116" t="s">
        <v>922</v>
      </c>
      <c r="AA177" s="116" t="s">
        <v>105</v>
      </c>
      <c r="AB177" s="116" t="s">
        <v>923</v>
      </c>
      <c r="AC177" s="116" t="s">
        <v>114</v>
      </c>
      <c r="AD177" s="116">
        <v>2017</v>
      </c>
      <c r="AE177" s="116" t="s">
        <v>96</v>
      </c>
      <c r="AF177" s="116" t="s">
        <v>954</v>
      </c>
      <c r="AG177" s="116" t="s">
        <v>1485</v>
      </c>
      <c r="AH177" s="116" t="s">
        <v>432</v>
      </c>
      <c r="AI177" s="116" t="s">
        <v>162</v>
      </c>
      <c r="AJ177" s="116" t="s">
        <v>1486</v>
      </c>
      <c r="AK177" s="116" t="s">
        <v>114</v>
      </c>
      <c r="AL177" s="116" t="s">
        <v>129</v>
      </c>
      <c r="AM177" s="116" t="s">
        <v>481</v>
      </c>
      <c r="AN177" s="116" t="s">
        <v>702</v>
      </c>
      <c r="AO177" s="120">
        <v>43333</v>
      </c>
      <c r="AP177" s="116" t="s">
        <v>111</v>
      </c>
      <c r="AQ177" s="116">
        <v>33</v>
      </c>
      <c r="AR177" s="121" t="s">
        <v>545</v>
      </c>
      <c r="AS177" s="122">
        <v>43313</v>
      </c>
      <c r="AT177" s="123"/>
      <c r="AU177" s="116"/>
      <c r="AV177" s="124"/>
      <c r="AW177" s="123"/>
      <c r="AX177" s="116" t="s">
        <v>432</v>
      </c>
    </row>
    <row r="178" spans="1:50" ht="15" hidden="1">
      <c r="A178" s="116" t="s">
        <v>1603</v>
      </c>
      <c r="B178" s="116" t="s">
        <v>90</v>
      </c>
      <c r="C178" s="116" t="s">
        <v>91</v>
      </c>
      <c r="D178" s="117">
        <v>0</v>
      </c>
      <c r="E178" s="118">
        <v>863.73</v>
      </c>
      <c r="F178" s="118">
        <v>0</v>
      </c>
      <c r="G178" s="118">
        <v>0</v>
      </c>
      <c r="H178" s="118">
        <v>0</v>
      </c>
      <c r="I178" s="118">
        <v>0</v>
      </c>
      <c r="J178" s="118">
        <v>0</v>
      </c>
      <c r="K178" s="118">
        <v>0</v>
      </c>
      <c r="L178" s="118">
        <v>0</v>
      </c>
      <c r="M178" s="118">
        <v>0</v>
      </c>
      <c r="N178" s="118">
        <v>0</v>
      </c>
      <c r="O178" s="119">
        <v>0</v>
      </c>
      <c r="P178" s="119">
        <v>0</v>
      </c>
      <c r="Q178" s="119">
        <v>0</v>
      </c>
      <c r="R178" s="119">
        <v>0</v>
      </c>
      <c r="S178" s="119">
        <v>0</v>
      </c>
      <c r="T178" s="116" t="s">
        <v>1117</v>
      </c>
      <c r="U178" s="116" t="s">
        <v>92</v>
      </c>
      <c r="V178" s="116" t="s">
        <v>1604</v>
      </c>
      <c r="W178" s="116">
        <v>20171231</v>
      </c>
      <c r="X178" s="116">
        <v>20181230</v>
      </c>
      <c r="Y178" s="116"/>
      <c r="Z178" s="116" t="s">
        <v>922</v>
      </c>
      <c r="AA178" s="116" t="s">
        <v>105</v>
      </c>
      <c r="AB178" s="116" t="s">
        <v>923</v>
      </c>
      <c r="AC178" s="116" t="s">
        <v>106</v>
      </c>
      <c r="AD178" s="116">
        <v>2018</v>
      </c>
      <c r="AE178" s="116" t="s">
        <v>96</v>
      </c>
      <c r="AF178" s="116" t="s">
        <v>289</v>
      </c>
      <c r="AG178" s="116" t="s">
        <v>1827</v>
      </c>
      <c r="AH178" s="116" t="s">
        <v>1828</v>
      </c>
      <c r="AI178" s="116" t="s">
        <v>119</v>
      </c>
      <c r="AJ178" s="116" t="s">
        <v>1829</v>
      </c>
      <c r="AK178" s="116" t="s">
        <v>551</v>
      </c>
      <c r="AL178" s="116" t="s">
        <v>129</v>
      </c>
      <c r="AM178" s="116" t="s">
        <v>831</v>
      </c>
      <c r="AN178" s="116" t="s">
        <v>867</v>
      </c>
      <c r="AO178" s="120">
        <v>43333</v>
      </c>
      <c r="AP178" s="116" t="s">
        <v>111</v>
      </c>
      <c r="AQ178" s="116">
        <v>33</v>
      </c>
      <c r="AR178" s="121" t="s">
        <v>554</v>
      </c>
      <c r="AS178" s="122">
        <v>43313</v>
      </c>
      <c r="AT178" s="123"/>
      <c r="AU178" s="116"/>
      <c r="AV178" s="124"/>
      <c r="AW178" s="123"/>
      <c r="AX178" s="116" t="s">
        <v>1828</v>
      </c>
    </row>
    <row r="179" spans="1:50" ht="15" hidden="1">
      <c r="A179" s="116" t="s">
        <v>1603</v>
      </c>
      <c r="B179" s="116" t="s">
        <v>90</v>
      </c>
      <c r="C179" s="116" t="s">
        <v>91</v>
      </c>
      <c r="D179" s="117">
        <v>0</v>
      </c>
      <c r="E179" s="118">
        <v>1713.3</v>
      </c>
      <c r="F179" s="118">
        <v>0</v>
      </c>
      <c r="G179" s="118">
        <v>0</v>
      </c>
      <c r="H179" s="118">
        <v>15658</v>
      </c>
      <c r="I179" s="118">
        <v>8159.26</v>
      </c>
      <c r="J179" s="118">
        <v>0</v>
      </c>
      <c r="K179" s="118">
        <v>-6496.25</v>
      </c>
      <c r="L179" s="118">
        <v>1</v>
      </c>
      <c r="M179" s="118">
        <v>1</v>
      </c>
      <c r="N179" s="118">
        <v>17321.009999999998</v>
      </c>
      <c r="O179" s="119">
        <v>0</v>
      </c>
      <c r="P179" s="119">
        <v>0</v>
      </c>
      <c r="Q179" s="119">
        <v>0</v>
      </c>
      <c r="R179" s="119">
        <v>15658</v>
      </c>
      <c r="S179" s="119">
        <v>0</v>
      </c>
      <c r="T179" s="116" t="s">
        <v>1271</v>
      </c>
      <c r="U179" s="116" t="s">
        <v>92</v>
      </c>
      <c r="V179" s="116" t="s">
        <v>1604</v>
      </c>
      <c r="W179" s="116">
        <v>20171231</v>
      </c>
      <c r="X179" s="116">
        <v>20181230</v>
      </c>
      <c r="Y179" s="116"/>
      <c r="Z179" s="116" t="s">
        <v>922</v>
      </c>
      <c r="AA179" s="116" t="s">
        <v>105</v>
      </c>
      <c r="AB179" s="116" t="s">
        <v>923</v>
      </c>
      <c r="AC179" s="116" t="s">
        <v>106</v>
      </c>
      <c r="AD179" s="116">
        <v>2018</v>
      </c>
      <c r="AE179" s="116" t="s">
        <v>96</v>
      </c>
      <c r="AF179" s="116" t="s">
        <v>289</v>
      </c>
      <c r="AG179" s="116" t="s">
        <v>1904</v>
      </c>
      <c r="AH179" s="116"/>
      <c r="AI179" s="116" t="s">
        <v>108</v>
      </c>
      <c r="AJ179" s="116" t="s">
        <v>1905</v>
      </c>
      <c r="AK179" s="116" t="s">
        <v>134</v>
      </c>
      <c r="AL179" s="116" t="s">
        <v>129</v>
      </c>
      <c r="AM179" s="116" t="s">
        <v>672</v>
      </c>
      <c r="AN179" s="116" t="s">
        <v>750</v>
      </c>
      <c r="AO179" s="120">
        <v>43333</v>
      </c>
      <c r="AP179" s="116" t="s">
        <v>111</v>
      </c>
      <c r="AQ179" s="116">
        <v>33</v>
      </c>
      <c r="AR179" s="125"/>
      <c r="AS179" s="122">
        <v>43313</v>
      </c>
      <c r="AT179" s="123"/>
      <c r="AU179" s="116"/>
      <c r="AV179" s="124"/>
      <c r="AW179" s="123"/>
      <c r="AX179" s="116"/>
    </row>
    <row r="180" spans="1:50" ht="15" hidden="1">
      <c r="A180" s="116" t="s">
        <v>1609</v>
      </c>
      <c r="B180" s="116" t="s">
        <v>90</v>
      </c>
      <c r="C180" s="116" t="s">
        <v>91</v>
      </c>
      <c r="D180" s="117">
        <v>0</v>
      </c>
      <c r="E180" s="118">
        <v>3313.28</v>
      </c>
      <c r="F180" s="118">
        <v>0</v>
      </c>
      <c r="G180" s="118">
        <v>0</v>
      </c>
      <c r="H180" s="118">
        <v>33472.129999999997</v>
      </c>
      <c r="I180" s="118">
        <v>3155.12</v>
      </c>
      <c r="J180" s="118">
        <v>0</v>
      </c>
      <c r="K180" s="118">
        <v>-15658</v>
      </c>
      <c r="L180" s="118">
        <v>0</v>
      </c>
      <c r="M180" s="118">
        <v>0</v>
      </c>
      <c r="N180" s="118">
        <v>20969.25</v>
      </c>
      <c r="O180" s="119">
        <v>33472.129999999997</v>
      </c>
      <c r="P180" s="119">
        <v>0</v>
      </c>
      <c r="Q180" s="119">
        <v>0</v>
      </c>
      <c r="R180" s="119">
        <v>0</v>
      </c>
      <c r="S180" s="119">
        <v>0</v>
      </c>
      <c r="T180" s="116" t="s">
        <v>1610</v>
      </c>
      <c r="U180" s="116" t="s">
        <v>92</v>
      </c>
      <c r="V180" s="116" t="s">
        <v>262</v>
      </c>
      <c r="W180" s="116">
        <v>20171231</v>
      </c>
      <c r="X180" s="116">
        <v>20181230</v>
      </c>
      <c r="Y180" s="116"/>
      <c r="Z180" s="116" t="s">
        <v>922</v>
      </c>
      <c r="AA180" s="116" t="s">
        <v>105</v>
      </c>
      <c r="AB180" s="116" t="s">
        <v>923</v>
      </c>
      <c r="AC180" s="116" t="s">
        <v>106</v>
      </c>
      <c r="AD180" s="116">
        <v>2016</v>
      </c>
      <c r="AE180" s="116" t="s">
        <v>96</v>
      </c>
      <c r="AF180" s="116" t="s">
        <v>954</v>
      </c>
      <c r="AG180" s="116" t="s">
        <v>1009</v>
      </c>
      <c r="AH180" s="116" t="s">
        <v>1003</v>
      </c>
      <c r="AI180" s="116" t="s">
        <v>119</v>
      </c>
      <c r="AJ180" s="116" t="s">
        <v>1010</v>
      </c>
      <c r="AK180" s="116" t="s">
        <v>106</v>
      </c>
      <c r="AL180" s="116" t="s">
        <v>129</v>
      </c>
      <c r="AM180" s="116" t="s">
        <v>574</v>
      </c>
      <c r="AN180" s="116" t="s">
        <v>575</v>
      </c>
      <c r="AO180" s="120">
        <v>43335</v>
      </c>
      <c r="AP180" s="116" t="s">
        <v>111</v>
      </c>
      <c r="AQ180" s="116">
        <v>33</v>
      </c>
      <c r="AR180" s="121" t="s">
        <v>554</v>
      </c>
      <c r="AS180" s="122">
        <v>43313</v>
      </c>
      <c r="AT180" s="123"/>
      <c r="AU180" s="116"/>
      <c r="AV180" s="124"/>
      <c r="AW180" s="123"/>
      <c r="AX180" s="116" t="s">
        <v>1003</v>
      </c>
    </row>
    <row r="181" spans="1:50" ht="15" hidden="1">
      <c r="A181" s="116" t="s">
        <v>1613</v>
      </c>
      <c r="B181" s="116" t="s">
        <v>90</v>
      </c>
      <c r="C181" s="116" t="s">
        <v>91</v>
      </c>
      <c r="D181" s="117">
        <v>0</v>
      </c>
      <c r="E181" s="118">
        <v>3560.25</v>
      </c>
      <c r="F181" s="118">
        <v>0</v>
      </c>
      <c r="G181" s="118">
        <v>0</v>
      </c>
      <c r="H181" s="118">
        <v>4453.1899999999996</v>
      </c>
      <c r="I181" s="118">
        <v>-1680.72</v>
      </c>
      <c r="J181" s="118">
        <v>0</v>
      </c>
      <c r="K181" s="118">
        <v>-15658</v>
      </c>
      <c r="L181" s="118">
        <v>0</v>
      </c>
      <c r="M181" s="118">
        <v>0</v>
      </c>
      <c r="N181" s="118">
        <v>-12885.53</v>
      </c>
      <c r="O181" s="119">
        <v>4453.1899999999996</v>
      </c>
      <c r="P181" s="119">
        <v>0</v>
      </c>
      <c r="Q181" s="119">
        <v>0</v>
      </c>
      <c r="R181" s="119">
        <v>0</v>
      </c>
      <c r="S181" s="119">
        <v>0</v>
      </c>
      <c r="T181" s="116" t="s">
        <v>1614</v>
      </c>
      <c r="U181" s="116" t="s">
        <v>92</v>
      </c>
      <c r="V181" s="116" t="s">
        <v>263</v>
      </c>
      <c r="W181" s="116">
        <v>20171231</v>
      </c>
      <c r="X181" s="116">
        <v>20181230</v>
      </c>
      <c r="Y181" s="116"/>
      <c r="Z181" s="116" t="s">
        <v>922</v>
      </c>
      <c r="AA181" s="116" t="s">
        <v>105</v>
      </c>
      <c r="AB181" s="116" t="s">
        <v>923</v>
      </c>
      <c r="AC181" s="116" t="s">
        <v>106</v>
      </c>
      <c r="AD181" s="116">
        <v>2018</v>
      </c>
      <c r="AE181" s="116" t="s">
        <v>96</v>
      </c>
      <c r="AF181" s="116" t="s">
        <v>289</v>
      </c>
      <c r="AG181" s="116" t="s">
        <v>1860</v>
      </c>
      <c r="AH181" s="116" t="s">
        <v>1861</v>
      </c>
      <c r="AI181" s="116" t="s">
        <v>108</v>
      </c>
      <c r="AJ181" s="116" t="s">
        <v>1862</v>
      </c>
      <c r="AK181" s="116" t="s">
        <v>106</v>
      </c>
      <c r="AL181" s="116" t="s">
        <v>129</v>
      </c>
      <c r="AM181" s="116" t="s">
        <v>878</v>
      </c>
      <c r="AN181" s="116" t="s">
        <v>879</v>
      </c>
      <c r="AO181" s="120">
        <v>43335</v>
      </c>
      <c r="AP181" s="116" t="s">
        <v>111</v>
      </c>
      <c r="AQ181" s="116">
        <v>33</v>
      </c>
      <c r="AR181" s="125"/>
      <c r="AS181" s="122">
        <v>43313</v>
      </c>
      <c r="AT181" s="123"/>
      <c r="AU181" s="116"/>
      <c r="AV181" s="124"/>
      <c r="AW181" s="123"/>
      <c r="AX181" s="116" t="s">
        <v>1861</v>
      </c>
    </row>
    <row r="182" spans="1:50" ht="15" hidden="1">
      <c r="A182" s="116" t="s">
        <v>1617</v>
      </c>
      <c r="B182" s="116" t="s">
        <v>90</v>
      </c>
      <c r="C182" s="116" t="s">
        <v>91</v>
      </c>
      <c r="D182" s="117">
        <v>0</v>
      </c>
      <c r="E182" s="118">
        <v>855.74</v>
      </c>
      <c r="F182" s="118">
        <v>0</v>
      </c>
      <c r="G182" s="118">
        <v>0</v>
      </c>
      <c r="H182" s="118">
        <v>7407.95</v>
      </c>
      <c r="I182" s="118">
        <v>1111.19</v>
      </c>
      <c r="J182" s="118">
        <v>0</v>
      </c>
      <c r="K182" s="118">
        <v>0</v>
      </c>
      <c r="L182" s="118">
        <v>0</v>
      </c>
      <c r="M182" s="118">
        <v>0</v>
      </c>
      <c r="N182" s="118">
        <v>8519.14</v>
      </c>
      <c r="O182" s="119">
        <v>0</v>
      </c>
      <c r="P182" s="119">
        <v>0</v>
      </c>
      <c r="Q182" s="119">
        <v>0</v>
      </c>
      <c r="R182" s="119">
        <v>7407.95</v>
      </c>
      <c r="S182" s="119">
        <v>0</v>
      </c>
      <c r="T182" s="116" t="s">
        <v>1618</v>
      </c>
      <c r="U182" s="116" t="s">
        <v>92</v>
      </c>
      <c r="V182" s="116" t="s">
        <v>264</v>
      </c>
      <c r="W182" s="116">
        <v>20171231</v>
      </c>
      <c r="X182" s="116">
        <v>20181230</v>
      </c>
      <c r="Y182" s="116"/>
      <c r="Z182" s="116" t="s">
        <v>922</v>
      </c>
      <c r="AA182" s="116" t="s">
        <v>105</v>
      </c>
      <c r="AB182" s="116" t="s">
        <v>923</v>
      </c>
      <c r="AC182" s="116" t="s">
        <v>106</v>
      </c>
      <c r="AD182" s="116">
        <v>2018</v>
      </c>
      <c r="AE182" s="116" t="s">
        <v>96</v>
      </c>
      <c r="AF182" s="116" t="s">
        <v>289</v>
      </c>
      <c r="AG182" s="116" t="s">
        <v>1968</v>
      </c>
      <c r="AH182" s="116" t="s">
        <v>1969</v>
      </c>
      <c r="AI182" s="116" t="s">
        <v>119</v>
      </c>
      <c r="AJ182" s="116" t="s">
        <v>1970</v>
      </c>
      <c r="AK182" s="116" t="s">
        <v>106</v>
      </c>
      <c r="AL182" s="116" t="s">
        <v>129</v>
      </c>
      <c r="AM182" s="116" t="s">
        <v>904</v>
      </c>
      <c r="AN182" s="116" t="s">
        <v>905</v>
      </c>
      <c r="AO182" s="120">
        <v>43335</v>
      </c>
      <c r="AP182" s="116" t="s">
        <v>111</v>
      </c>
      <c r="AQ182" s="116">
        <v>33</v>
      </c>
      <c r="AR182" s="121" t="s">
        <v>554</v>
      </c>
      <c r="AS182" s="122">
        <v>43313</v>
      </c>
      <c r="AT182" s="123"/>
      <c r="AU182" s="116"/>
      <c r="AV182" s="124"/>
      <c r="AW182" s="123"/>
      <c r="AX182" s="116" t="s">
        <v>1969</v>
      </c>
    </row>
    <row r="183" spans="1:50" ht="15" hidden="1">
      <c r="A183" s="116" t="s">
        <v>1621</v>
      </c>
      <c r="B183" s="116" t="s">
        <v>90</v>
      </c>
      <c r="C183" s="116" t="s">
        <v>91</v>
      </c>
      <c r="D183" s="117">
        <v>0</v>
      </c>
      <c r="E183" s="118">
        <v>698.89</v>
      </c>
      <c r="F183" s="118">
        <v>0</v>
      </c>
      <c r="G183" s="118">
        <v>0</v>
      </c>
      <c r="H183" s="118">
        <v>0</v>
      </c>
      <c r="I183" s="118">
        <v>0</v>
      </c>
      <c r="J183" s="118">
        <v>0</v>
      </c>
      <c r="K183" s="118">
        <v>0</v>
      </c>
      <c r="L183" s="118">
        <v>0</v>
      </c>
      <c r="M183" s="118">
        <v>0</v>
      </c>
      <c r="N183" s="118">
        <v>0</v>
      </c>
      <c r="O183" s="119">
        <v>0</v>
      </c>
      <c r="P183" s="119">
        <v>0</v>
      </c>
      <c r="Q183" s="119">
        <v>0</v>
      </c>
      <c r="R183" s="119">
        <v>0</v>
      </c>
      <c r="S183" s="119">
        <v>0</v>
      </c>
      <c r="T183" s="116" t="s">
        <v>1031</v>
      </c>
      <c r="U183" s="116" t="s">
        <v>92</v>
      </c>
      <c r="V183" s="116" t="s">
        <v>265</v>
      </c>
      <c r="W183" s="116">
        <v>20171231</v>
      </c>
      <c r="X183" s="116">
        <v>20181230</v>
      </c>
      <c r="Y183" s="116"/>
      <c r="Z183" s="116" t="s">
        <v>922</v>
      </c>
      <c r="AA183" s="116" t="s">
        <v>105</v>
      </c>
      <c r="AB183" s="116" t="s">
        <v>923</v>
      </c>
      <c r="AC183" s="116" t="s">
        <v>106</v>
      </c>
      <c r="AD183" s="116">
        <v>2018</v>
      </c>
      <c r="AE183" s="116" t="s">
        <v>96</v>
      </c>
      <c r="AF183" s="116" t="s">
        <v>289</v>
      </c>
      <c r="AG183" s="116" t="s">
        <v>1812</v>
      </c>
      <c r="AH183" s="116" t="s">
        <v>1813</v>
      </c>
      <c r="AI183" s="116" t="s">
        <v>108</v>
      </c>
      <c r="AJ183" s="116" t="s">
        <v>1814</v>
      </c>
      <c r="AK183" s="116" t="s">
        <v>106</v>
      </c>
      <c r="AL183" s="116" t="s">
        <v>129</v>
      </c>
      <c r="AM183" s="116" t="s">
        <v>859</v>
      </c>
      <c r="AN183" s="116" t="s">
        <v>860</v>
      </c>
      <c r="AO183" s="120">
        <v>43340</v>
      </c>
      <c r="AP183" s="116" t="s">
        <v>111</v>
      </c>
      <c r="AQ183" s="116">
        <v>33</v>
      </c>
      <c r="AR183" s="121" t="s">
        <v>545</v>
      </c>
      <c r="AS183" s="122">
        <v>43313</v>
      </c>
      <c r="AT183" s="123"/>
      <c r="AU183" s="116"/>
      <c r="AV183" s="124"/>
      <c r="AW183" s="123"/>
      <c r="AX183" s="116" t="s">
        <v>1813</v>
      </c>
    </row>
    <row r="184" spans="1:50" ht="15" hidden="1">
      <c r="A184" s="116" t="s">
        <v>1624</v>
      </c>
      <c r="B184" s="116" t="s">
        <v>90</v>
      </c>
      <c r="C184" s="116" t="s">
        <v>91</v>
      </c>
      <c r="D184" s="117">
        <v>0</v>
      </c>
      <c r="E184" s="118">
        <v>600.98</v>
      </c>
      <c r="F184" s="118">
        <v>0</v>
      </c>
      <c r="G184" s="118">
        <v>0</v>
      </c>
      <c r="H184" s="118">
        <v>0</v>
      </c>
      <c r="I184" s="118">
        <v>2126.83</v>
      </c>
      <c r="J184" s="118">
        <v>0</v>
      </c>
      <c r="K184" s="118">
        <v>0</v>
      </c>
      <c r="L184" s="118">
        <v>0</v>
      </c>
      <c r="M184" s="118">
        <v>14178.84</v>
      </c>
      <c r="N184" s="118">
        <v>16305.67</v>
      </c>
      <c r="O184" s="119">
        <v>0</v>
      </c>
      <c r="P184" s="119">
        <v>0</v>
      </c>
      <c r="Q184" s="119">
        <v>0</v>
      </c>
      <c r="R184" s="119">
        <v>0</v>
      </c>
      <c r="S184" s="119">
        <v>0</v>
      </c>
      <c r="T184" s="116" t="s">
        <v>1035</v>
      </c>
      <c r="U184" s="116" t="s">
        <v>92</v>
      </c>
      <c r="V184" s="116" t="s">
        <v>267</v>
      </c>
      <c r="W184" s="116">
        <v>20171231</v>
      </c>
      <c r="X184" s="116">
        <v>20181230</v>
      </c>
      <c r="Y184" s="116"/>
      <c r="Z184" s="116" t="s">
        <v>922</v>
      </c>
      <c r="AA184" s="116" t="s">
        <v>105</v>
      </c>
      <c r="AB184" s="116" t="s">
        <v>923</v>
      </c>
      <c r="AC184" s="116" t="s">
        <v>106</v>
      </c>
      <c r="AD184" s="116">
        <v>2018</v>
      </c>
      <c r="AE184" s="116" t="s">
        <v>96</v>
      </c>
      <c r="AF184" s="116" t="s">
        <v>289</v>
      </c>
      <c r="AG184" s="116" t="s">
        <v>1971</v>
      </c>
      <c r="AH184" s="116" t="s">
        <v>1969</v>
      </c>
      <c r="AI184" s="116" t="s">
        <v>108</v>
      </c>
      <c r="AJ184" s="116" t="s">
        <v>1972</v>
      </c>
      <c r="AK184" s="116" t="s">
        <v>551</v>
      </c>
      <c r="AL184" s="116" t="s">
        <v>425</v>
      </c>
      <c r="AM184" s="116" t="s">
        <v>378</v>
      </c>
      <c r="AN184" s="116" t="s">
        <v>906</v>
      </c>
      <c r="AO184" s="120">
        <v>43340</v>
      </c>
      <c r="AP184" s="116" t="s">
        <v>111</v>
      </c>
      <c r="AQ184" s="116">
        <v>33</v>
      </c>
      <c r="AR184" s="121" t="s">
        <v>554</v>
      </c>
      <c r="AS184" s="122">
        <v>43313</v>
      </c>
      <c r="AT184" s="123"/>
      <c r="AU184" s="116"/>
      <c r="AV184" s="124"/>
      <c r="AW184" s="123"/>
      <c r="AX184" s="116" t="s">
        <v>1969</v>
      </c>
    </row>
    <row r="185" spans="1:50" ht="15" hidden="1">
      <c r="A185" s="116" t="s">
        <v>1628</v>
      </c>
      <c r="B185" s="116" t="s">
        <v>90</v>
      </c>
      <c r="C185" s="116" t="s">
        <v>91</v>
      </c>
      <c r="D185" s="117">
        <v>0</v>
      </c>
      <c r="E185" s="118">
        <v>2255.59</v>
      </c>
      <c r="F185" s="118">
        <v>0</v>
      </c>
      <c r="G185" s="118">
        <v>0</v>
      </c>
      <c r="H185" s="118">
        <v>81940.5</v>
      </c>
      <c r="I185" s="118">
        <v>12291.08</v>
      </c>
      <c r="J185" s="118">
        <v>0</v>
      </c>
      <c r="K185" s="118">
        <v>0</v>
      </c>
      <c r="L185" s="118">
        <v>0</v>
      </c>
      <c r="M185" s="118">
        <v>0</v>
      </c>
      <c r="N185" s="118">
        <v>94231.58</v>
      </c>
      <c r="O185" s="119">
        <v>81940.5</v>
      </c>
      <c r="P185" s="119">
        <v>0</v>
      </c>
      <c r="Q185" s="119">
        <v>0</v>
      </c>
      <c r="R185" s="119">
        <v>0</v>
      </c>
      <c r="S185" s="119">
        <v>0</v>
      </c>
      <c r="T185" s="116" t="s">
        <v>1465</v>
      </c>
      <c r="U185" s="116" t="s">
        <v>92</v>
      </c>
      <c r="V185" s="116" t="s">
        <v>268</v>
      </c>
      <c r="W185" s="116">
        <v>20171231</v>
      </c>
      <c r="X185" s="116">
        <v>20181230</v>
      </c>
      <c r="Y185" s="116"/>
      <c r="Z185" s="116" t="s">
        <v>922</v>
      </c>
      <c r="AA185" s="116" t="s">
        <v>105</v>
      </c>
      <c r="AB185" s="116" t="s">
        <v>923</v>
      </c>
      <c r="AC185" s="116" t="s">
        <v>106</v>
      </c>
      <c r="AD185" s="116">
        <v>2018</v>
      </c>
      <c r="AE185" s="116" t="s">
        <v>96</v>
      </c>
      <c r="AF185" s="116" t="s">
        <v>289</v>
      </c>
      <c r="AG185" s="116" t="s">
        <v>1991</v>
      </c>
      <c r="AH185" s="116" t="s">
        <v>1992</v>
      </c>
      <c r="AI185" s="116" t="s">
        <v>119</v>
      </c>
      <c r="AJ185" s="116" t="s">
        <v>1993</v>
      </c>
      <c r="AK185" s="116" t="s">
        <v>122</v>
      </c>
      <c r="AL185" s="116" t="s">
        <v>912</v>
      </c>
      <c r="AM185" s="116" t="s">
        <v>507</v>
      </c>
      <c r="AN185" s="116" t="s">
        <v>913</v>
      </c>
      <c r="AO185" s="120">
        <v>43341</v>
      </c>
      <c r="AP185" s="116" t="s">
        <v>111</v>
      </c>
      <c r="AQ185" s="116">
        <v>33</v>
      </c>
      <c r="AR185" s="123"/>
      <c r="AS185" s="122">
        <v>43313</v>
      </c>
      <c r="AT185" s="123"/>
      <c r="AU185" s="116"/>
      <c r="AV185" s="124"/>
      <c r="AW185" s="123"/>
      <c r="AX185" s="116" t="s">
        <v>1992</v>
      </c>
    </row>
    <row r="186" spans="1:50" ht="15" hidden="1">
      <c r="A186" s="116" t="s">
        <v>1631</v>
      </c>
      <c r="B186" s="116" t="s">
        <v>90</v>
      </c>
      <c r="C186" s="116" t="s">
        <v>91</v>
      </c>
      <c r="D186" s="117">
        <v>0</v>
      </c>
      <c r="E186" s="118">
        <v>1274.04</v>
      </c>
      <c r="F186" s="118">
        <v>0</v>
      </c>
      <c r="G186" s="118">
        <v>0</v>
      </c>
      <c r="H186" s="118">
        <v>3386.43</v>
      </c>
      <c r="I186" s="118">
        <v>507.96</v>
      </c>
      <c r="J186" s="118">
        <v>0</v>
      </c>
      <c r="K186" s="118">
        <v>0</v>
      </c>
      <c r="L186" s="118">
        <v>0</v>
      </c>
      <c r="M186" s="118">
        <v>0</v>
      </c>
      <c r="N186" s="118">
        <v>3894.39</v>
      </c>
      <c r="O186" s="119">
        <v>0</v>
      </c>
      <c r="P186" s="119">
        <v>0</v>
      </c>
      <c r="Q186" s="119">
        <v>0</v>
      </c>
      <c r="R186" s="119">
        <v>3386.43</v>
      </c>
      <c r="S186" s="119">
        <v>0</v>
      </c>
      <c r="T186" s="116" t="s">
        <v>973</v>
      </c>
      <c r="U186" s="116" t="s">
        <v>92</v>
      </c>
      <c r="V186" s="116" t="s">
        <v>269</v>
      </c>
      <c r="W186" s="116">
        <v>20171231</v>
      </c>
      <c r="X186" s="116">
        <v>20181230</v>
      </c>
      <c r="Y186" s="116"/>
      <c r="Z186" s="116" t="s">
        <v>922</v>
      </c>
      <c r="AA186" s="116" t="s">
        <v>105</v>
      </c>
      <c r="AB186" s="116" t="s">
        <v>923</v>
      </c>
      <c r="AC186" s="116" t="s">
        <v>106</v>
      </c>
      <c r="AD186" s="116">
        <v>2017</v>
      </c>
      <c r="AE186" s="116" t="s">
        <v>96</v>
      </c>
      <c r="AF186" s="116" t="s">
        <v>954</v>
      </c>
      <c r="AG186" s="116" t="s">
        <v>1304</v>
      </c>
      <c r="AH186" s="116" t="s">
        <v>1305</v>
      </c>
      <c r="AI186" s="116" t="s">
        <v>108</v>
      </c>
      <c r="AJ186" s="116" t="s">
        <v>1306</v>
      </c>
      <c r="AK186" s="116" t="s">
        <v>106</v>
      </c>
      <c r="AL186" s="116" t="s">
        <v>129</v>
      </c>
      <c r="AM186" s="116" t="s">
        <v>687</v>
      </c>
      <c r="AN186" s="116" t="s">
        <v>688</v>
      </c>
      <c r="AO186" s="120">
        <v>43347</v>
      </c>
      <c r="AP186" s="116" t="s">
        <v>111</v>
      </c>
      <c r="AQ186" s="116">
        <v>33</v>
      </c>
      <c r="AR186" s="121" t="s">
        <v>545</v>
      </c>
      <c r="AS186" s="122">
        <v>43344</v>
      </c>
      <c r="AT186" s="123"/>
      <c r="AU186" s="116"/>
      <c r="AV186" s="124"/>
      <c r="AW186" s="123"/>
      <c r="AX186" s="116" t="s">
        <v>1305</v>
      </c>
    </row>
    <row r="187" spans="1:50" ht="15" hidden="1">
      <c r="A187" s="116" t="s">
        <v>1634</v>
      </c>
      <c r="B187" s="116" t="s">
        <v>90</v>
      </c>
      <c r="C187" s="116" t="s">
        <v>91</v>
      </c>
      <c r="D187" s="117">
        <v>0</v>
      </c>
      <c r="E187" s="118">
        <v>484.11</v>
      </c>
      <c r="F187" s="118">
        <v>0</v>
      </c>
      <c r="G187" s="118">
        <v>0</v>
      </c>
      <c r="H187" s="118">
        <v>0</v>
      </c>
      <c r="I187" s="118">
        <v>580.41999999999996</v>
      </c>
      <c r="J187" s="118">
        <v>0</v>
      </c>
      <c r="K187" s="118">
        <v>0</v>
      </c>
      <c r="L187" s="118">
        <v>0</v>
      </c>
      <c r="M187" s="118">
        <v>3869.46</v>
      </c>
      <c r="N187" s="118">
        <v>4449.88</v>
      </c>
      <c r="O187" s="119">
        <v>0</v>
      </c>
      <c r="P187" s="119">
        <v>0</v>
      </c>
      <c r="Q187" s="119">
        <v>0</v>
      </c>
      <c r="R187" s="119">
        <v>0</v>
      </c>
      <c r="S187" s="119">
        <v>0</v>
      </c>
      <c r="T187" s="116" t="s">
        <v>1073</v>
      </c>
      <c r="U187" s="116" t="s">
        <v>92</v>
      </c>
      <c r="V187" s="116" t="s">
        <v>270</v>
      </c>
      <c r="W187" s="116">
        <v>20171231</v>
      </c>
      <c r="X187" s="116">
        <v>20181230</v>
      </c>
      <c r="Y187" s="116"/>
      <c r="Z187" s="116" t="s">
        <v>922</v>
      </c>
      <c r="AA187" s="116" t="s">
        <v>105</v>
      </c>
      <c r="AB187" s="116" t="s">
        <v>923</v>
      </c>
      <c r="AC187" s="116" t="s">
        <v>114</v>
      </c>
      <c r="AD187" s="116">
        <v>2017</v>
      </c>
      <c r="AE187" s="116" t="s">
        <v>96</v>
      </c>
      <c r="AF187" s="116" t="s">
        <v>954</v>
      </c>
      <c r="AG187" s="116" t="s">
        <v>1348</v>
      </c>
      <c r="AH187" s="116" t="s">
        <v>1349</v>
      </c>
      <c r="AI187" s="116" t="s">
        <v>108</v>
      </c>
      <c r="AJ187" s="116" t="s">
        <v>1350</v>
      </c>
      <c r="AK187" s="116" t="s">
        <v>114</v>
      </c>
      <c r="AL187" s="116" t="s">
        <v>129</v>
      </c>
      <c r="AM187" s="116" t="s">
        <v>706</v>
      </c>
      <c r="AN187" s="116" t="s">
        <v>707</v>
      </c>
      <c r="AO187" s="120">
        <v>43348</v>
      </c>
      <c r="AP187" s="116" t="s">
        <v>111</v>
      </c>
      <c r="AQ187" s="116">
        <v>33</v>
      </c>
      <c r="AR187" s="121" t="s">
        <v>554</v>
      </c>
      <c r="AS187" s="122">
        <v>43344</v>
      </c>
      <c r="AT187" s="123"/>
      <c r="AU187" s="116"/>
      <c r="AV187" s="124"/>
      <c r="AW187" s="123"/>
      <c r="AX187" s="116" t="s">
        <v>1349</v>
      </c>
    </row>
    <row r="188" spans="1:50" ht="15" hidden="1">
      <c r="A188" s="116" t="s">
        <v>1638</v>
      </c>
      <c r="B188" s="116" t="s">
        <v>90</v>
      </c>
      <c r="C188" s="116" t="s">
        <v>91</v>
      </c>
      <c r="D188" s="117">
        <v>0</v>
      </c>
      <c r="E188" s="118">
        <v>647.46</v>
      </c>
      <c r="F188" s="118">
        <v>0</v>
      </c>
      <c r="G188" s="118">
        <v>0</v>
      </c>
      <c r="H188" s="118">
        <v>0</v>
      </c>
      <c r="I188" s="118">
        <v>950.32</v>
      </c>
      <c r="J188" s="118">
        <v>0</v>
      </c>
      <c r="K188" s="118">
        <v>0</v>
      </c>
      <c r="L188" s="118">
        <v>0</v>
      </c>
      <c r="M188" s="118">
        <v>6335.48</v>
      </c>
      <c r="N188" s="118">
        <v>7285.8</v>
      </c>
      <c r="O188" s="119">
        <v>0</v>
      </c>
      <c r="P188" s="119">
        <v>0</v>
      </c>
      <c r="Q188" s="119">
        <v>0</v>
      </c>
      <c r="R188" s="119">
        <v>0</v>
      </c>
      <c r="S188" s="119">
        <v>0</v>
      </c>
      <c r="T188" s="116" t="s">
        <v>1465</v>
      </c>
      <c r="U188" s="116" t="s">
        <v>92</v>
      </c>
      <c r="V188" s="116" t="s">
        <v>273</v>
      </c>
      <c r="W188" s="116">
        <v>20171231</v>
      </c>
      <c r="X188" s="116">
        <v>20181230</v>
      </c>
      <c r="Y188" s="116"/>
      <c r="Z188" s="116" t="s">
        <v>922</v>
      </c>
      <c r="AA188" s="116" t="s">
        <v>105</v>
      </c>
      <c r="AB188" s="116" t="s">
        <v>923</v>
      </c>
      <c r="AC188" s="116" t="s">
        <v>168</v>
      </c>
      <c r="AD188" s="116">
        <v>2017</v>
      </c>
      <c r="AE188" s="116" t="s">
        <v>96</v>
      </c>
      <c r="AF188" s="116" t="s">
        <v>954</v>
      </c>
      <c r="AG188" s="116" t="s">
        <v>1428</v>
      </c>
      <c r="AH188" s="116" t="s">
        <v>1429</v>
      </c>
      <c r="AI188" s="116" t="s">
        <v>108</v>
      </c>
      <c r="AJ188" s="116" t="s">
        <v>1430</v>
      </c>
      <c r="AK188" s="116" t="s">
        <v>168</v>
      </c>
      <c r="AL188" s="116" t="s">
        <v>129</v>
      </c>
      <c r="AM188" s="116" t="s">
        <v>737</v>
      </c>
      <c r="AN188" s="116" t="s">
        <v>738</v>
      </c>
      <c r="AO188" s="120">
        <v>43348</v>
      </c>
      <c r="AP188" s="116" t="s">
        <v>111</v>
      </c>
      <c r="AQ188" s="116">
        <v>33</v>
      </c>
      <c r="AR188" s="121" t="s">
        <v>545</v>
      </c>
      <c r="AS188" s="122">
        <v>43344</v>
      </c>
      <c r="AT188" s="123"/>
      <c r="AU188" s="116"/>
      <c r="AV188" s="124"/>
      <c r="AW188" s="123"/>
      <c r="AX188" s="116" t="s">
        <v>1429</v>
      </c>
    </row>
    <row r="189" spans="1:50" ht="15" hidden="1">
      <c r="A189" s="116" t="s">
        <v>1638</v>
      </c>
      <c r="B189" s="116" t="s">
        <v>90</v>
      </c>
      <c r="C189" s="116" t="s">
        <v>91</v>
      </c>
      <c r="D189" s="117">
        <v>0</v>
      </c>
      <c r="E189" s="118">
        <v>1921.5</v>
      </c>
      <c r="F189" s="118">
        <v>0</v>
      </c>
      <c r="G189" s="118">
        <v>0</v>
      </c>
      <c r="H189" s="118">
        <v>2650</v>
      </c>
      <c r="I189" s="118">
        <v>397.5</v>
      </c>
      <c r="J189" s="118">
        <v>0</v>
      </c>
      <c r="K189" s="118">
        <v>0</v>
      </c>
      <c r="L189" s="118">
        <v>0</v>
      </c>
      <c r="M189" s="118">
        <v>0</v>
      </c>
      <c r="N189" s="118">
        <v>3047.5</v>
      </c>
      <c r="O189" s="119">
        <v>0</v>
      </c>
      <c r="P189" s="119">
        <v>0</v>
      </c>
      <c r="Q189" s="119">
        <v>0</v>
      </c>
      <c r="R189" s="119">
        <v>2650</v>
      </c>
      <c r="S189" s="119">
        <v>0</v>
      </c>
      <c r="T189" s="116" t="s">
        <v>1642</v>
      </c>
      <c r="U189" s="116" t="s">
        <v>92</v>
      </c>
      <c r="V189" s="116" t="s">
        <v>273</v>
      </c>
      <c r="W189" s="116">
        <v>20171231</v>
      </c>
      <c r="X189" s="116">
        <v>20181230</v>
      </c>
      <c r="Y189" s="116"/>
      <c r="Z189" s="116" t="s">
        <v>922</v>
      </c>
      <c r="AA189" s="116" t="s">
        <v>105</v>
      </c>
      <c r="AB189" s="116" t="s">
        <v>923</v>
      </c>
      <c r="AC189" s="116" t="s">
        <v>106</v>
      </c>
      <c r="AD189" s="116">
        <v>2018</v>
      </c>
      <c r="AE189" s="116" t="s">
        <v>96</v>
      </c>
      <c r="AF189" s="116" t="s">
        <v>289</v>
      </c>
      <c r="AG189" s="116" t="s">
        <v>1996</v>
      </c>
      <c r="AH189" s="116"/>
      <c r="AI189" s="116" t="s">
        <v>119</v>
      </c>
      <c r="AJ189" s="116" t="s">
        <v>644</v>
      </c>
      <c r="AK189" s="116" t="s">
        <v>131</v>
      </c>
      <c r="AL189" s="116" t="s">
        <v>110</v>
      </c>
      <c r="AM189" s="116" t="s">
        <v>397</v>
      </c>
      <c r="AN189" s="116" t="s">
        <v>914</v>
      </c>
      <c r="AO189" s="120">
        <v>43349</v>
      </c>
      <c r="AP189" s="116" t="s">
        <v>111</v>
      </c>
      <c r="AQ189" s="116">
        <v>33</v>
      </c>
      <c r="AR189" s="123"/>
      <c r="AS189" s="122">
        <v>43344</v>
      </c>
      <c r="AT189" s="123"/>
      <c r="AU189" s="116"/>
      <c r="AV189" s="124"/>
      <c r="AW189" s="123"/>
      <c r="AX189" s="116"/>
    </row>
    <row r="190" spans="1:50" ht="15" hidden="1">
      <c r="A190" s="116" t="s">
        <v>1645</v>
      </c>
      <c r="B190" s="116" t="s">
        <v>90</v>
      </c>
      <c r="C190" s="116" t="s">
        <v>91</v>
      </c>
      <c r="D190" s="117">
        <v>0</v>
      </c>
      <c r="E190" s="118">
        <v>1495.28</v>
      </c>
      <c r="F190" s="118">
        <v>9225.15</v>
      </c>
      <c r="G190" s="118">
        <v>9225.15</v>
      </c>
      <c r="H190" s="118">
        <v>10058.06</v>
      </c>
      <c r="I190" s="118">
        <v>-839.99</v>
      </c>
      <c r="J190" s="118">
        <v>0</v>
      </c>
      <c r="K190" s="118">
        <v>-15658</v>
      </c>
      <c r="L190" s="118">
        <v>0</v>
      </c>
      <c r="M190" s="118">
        <v>0</v>
      </c>
      <c r="N190" s="118">
        <v>-6439.93</v>
      </c>
      <c r="O190" s="119">
        <v>10058.06</v>
      </c>
      <c r="P190" s="119">
        <v>0</v>
      </c>
      <c r="Q190" s="119">
        <v>0</v>
      </c>
      <c r="R190" s="119">
        <v>0</v>
      </c>
      <c r="S190" s="119">
        <v>0</v>
      </c>
      <c r="T190" s="116" t="s">
        <v>941</v>
      </c>
      <c r="U190" s="116" t="s">
        <v>92</v>
      </c>
      <c r="V190" s="116" t="s">
        <v>1646</v>
      </c>
      <c r="W190" s="116">
        <v>20171231</v>
      </c>
      <c r="X190" s="116">
        <v>20181230</v>
      </c>
      <c r="Y190" s="116"/>
      <c r="Z190" s="116" t="s">
        <v>922</v>
      </c>
      <c r="AA190" s="116" t="s">
        <v>105</v>
      </c>
      <c r="AB190" s="116" t="s">
        <v>923</v>
      </c>
      <c r="AC190" s="116" t="s">
        <v>104</v>
      </c>
      <c r="AD190" s="116">
        <v>2016</v>
      </c>
      <c r="AE190" s="116" t="s">
        <v>96</v>
      </c>
      <c r="AF190" s="116" t="s">
        <v>954</v>
      </c>
      <c r="AG190" s="116" t="s">
        <v>1040</v>
      </c>
      <c r="AH190" s="116" t="s">
        <v>1041</v>
      </c>
      <c r="AI190" s="116" t="s">
        <v>162</v>
      </c>
      <c r="AJ190" s="116" t="s">
        <v>1042</v>
      </c>
      <c r="AK190" s="116" t="s">
        <v>104</v>
      </c>
      <c r="AL190" s="116" t="s">
        <v>501</v>
      </c>
      <c r="AM190" s="116" t="s">
        <v>585</v>
      </c>
      <c r="AN190" s="116" t="s">
        <v>586</v>
      </c>
      <c r="AO190" s="120">
        <v>43350</v>
      </c>
      <c r="AP190" s="116" t="s">
        <v>111</v>
      </c>
      <c r="AQ190" s="116">
        <v>33</v>
      </c>
      <c r="AR190" s="125"/>
      <c r="AS190" s="122">
        <v>43344</v>
      </c>
      <c r="AT190" s="123"/>
      <c r="AU190" s="116"/>
      <c r="AV190" s="124"/>
      <c r="AW190" s="123"/>
      <c r="AX190" s="116" t="s">
        <v>1041</v>
      </c>
    </row>
    <row r="191" spans="1:50" ht="15" hidden="1">
      <c r="A191" s="116" t="s">
        <v>1645</v>
      </c>
      <c r="B191" s="116" t="s">
        <v>90</v>
      </c>
      <c r="C191" s="116" t="s">
        <v>91</v>
      </c>
      <c r="D191" s="117">
        <v>0</v>
      </c>
      <c r="E191" s="118">
        <v>6944.17</v>
      </c>
      <c r="F191" s="118">
        <v>0</v>
      </c>
      <c r="G191" s="118">
        <v>0</v>
      </c>
      <c r="H191" s="118">
        <v>731609.76</v>
      </c>
      <c r="I191" s="118">
        <v>138330.23000000001</v>
      </c>
      <c r="J191" s="118">
        <v>0</v>
      </c>
      <c r="K191" s="118">
        <v>0</v>
      </c>
      <c r="L191" s="118">
        <v>1</v>
      </c>
      <c r="M191" s="118">
        <v>43622.75</v>
      </c>
      <c r="N191" s="118">
        <v>913561.74</v>
      </c>
      <c r="O191" s="119">
        <v>0</v>
      </c>
      <c r="P191" s="119">
        <v>201551.19</v>
      </c>
      <c r="Q191" s="119">
        <v>0</v>
      </c>
      <c r="R191" s="119">
        <v>530058.56999999995</v>
      </c>
      <c r="S191" s="119">
        <v>0</v>
      </c>
      <c r="T191" s="116" t="s">
        <v>1143</v>
      </c>
      <c r="U191" s="116" t="s">
        <v>92</v>
      </c>
      <c r="V191" s="116" t="s">
        <v>1646</v>
      </c>
      <c r="W191" s="116">
        <v>20171231</v>
      </c>
      <c r="X191" s="116">
        <v>20181230</v>
      </c>
      <c r="Y191" s="116"/>
      <c r="Z191" s="116" t="s">
        <v>922</v>
      </c>
      <c r="AA191" s="116" t="s">
        <v>105</v>
      </c>
      <c r="AB191" s="116" t="s">
        <v>923</v>
      </c>
      <c r="AC191" s="116" t="s">
        <v>166</v>
      </c>
      <c r="AD191" s="116">
        <v>2016</v>
      </c>
      <c r="AE191" s="116" t="s">
        <v>96</v>
      </c>
      <c r="AF191" s="116" t="s">
        <v>954</v>
      </c>
      <c r="AG191" s="116" t="s">
        <v>1176</v>
      </c>
      <c r="AH191" s="116"/>
      <c r="AI191" s="116" t="s">
        <v>119</v>
      </c>
      <c r="AJ191" s="116" t="s">
        <v>583</v>
      </c>
      <c r="AK191" s="116" t="s">
        <v>166</v>
      </c>
      <c r="AL191" s="116" t="s">
        <v>110</v>
      </c>
      <c r="AM191" s="116" t="s">
        <v>637</v>
      </c>
      <c r="AN191" s="116" t="s">
        <v>638</v>
      </c>
      <c r="AO191" s="120">
        <v>43353</v>
      </c>
      <c r="AP191" s="116" t="s">
        <v>111</v>
      </c>
      <c r="AQ191" s="116">
        <v>33</v>
      </c>
      <c r="AR191" s="125"/>
      <c r="AS191" s="122">
        <v>43344</v>
      </c>
      <c r="AT191" s="123"/>
      <c r="AU191" s="116"/>
      <c r="AV191" s="124"/>
      <c r="AW191" s="123"/>
      <c r="AX191" s="116"/>
    </row>
    <row r="192" spans="1:50" ht="15" hidden="1">
      <c r="A192" s="116" t="s">
        <v>1651</v>
      </c>
      <c r="B192" s="116" t="s">
        <v>90</v>
      </c>
      <c r="C192" s="116" t="s">
        <v>91</v>
      </c>
      <c r="D192" s="117">
        <v>0</v>
      </c>
      <c r="E192" s="118">
        <v>1274.04</v>
      </c>
      <c r="F192" s="118">
        <v>0</v>
      </c>
      <c r="G192" s="118">
        <v>0</v>
      </c>
      <c r="H192" s="118">
        <v>2105</v>
      </c>
      <c r="I192" s="118">
        <v>798.75</v>
      </c>
      <c r="J192" s="118">
        <v>0</v>
      </c>
      <c r="K192" s="118">
        <v>0</v>
      </c>
      <c r="L192" s="118">
        <v>0</v>
      </c>
      <c r="M192" s="118">
        <v>0</v>
      </c>
      <c r="N192" s="118">
        <v>2903.75</v>
      </c>
      <c r="O192" s="119">
        <v>0</v>
      </c>
      <c r="P192" s="119">
        <v>0</v>
      </c>
      <c r="Q192" s="119">
        <v>0</v>
      </c>
      <c r="R192" s="119">
        <v>2105</v>
      </c>
      <c r="S192" s="119">
        <v>0</v>
      </c>
      <c r="T192" s="116" t="s">
        <v>1652</v>
      </c>
      <c r="U192" s="116" t="s">
        <v>92</v>
      </c>
      <c r="V192" s="116" t="s">
        <v>274</v>
      </c>
      <c r="W192" s="116">
        <v>20171231</v>
      </c>
      <c r="X192" s="116">
        <v>20181230</v>
      </c>
      <c r="Y192" s="116"/>
      <c r="Z192" s="116" t="s">
        <v>922</v>
      </c>
      <c r="AA192" s="116" t="s">
        <v>105</v>
      </c>
      <c r="AB192" s="116" t="s">
        <v>923</v>
      </c>
      <c r="AC192" s="116" t="s">
        <v>114</v>
      </c>
      <c r="AD192" s="116">
        <v>2017</v>
      </c>
      <c r="AE192" s="116" t="s">
        <v>96</v>
      </c>
      <c r="AF192" s="116" t="s">
        <v>954</v>
      </c>
      <c r="AG192" s="116" t="s">
        <v>1377</v>
      </c>
      <c r="AH192" s="116" t="s">
        <v>1378</v>
      </c>
      <c r="AI192" s="116" t="s">
        <v>119</v>
      </c>
      <c r="AJ192" s="116" t="s">
        <v>1379</v>
      </c>
      <c r="AK192" s="116" t="s">
        <v>123</v>
      </c>
      <c r="AL192" s="116" t="s">
        <v>129</v>
      </c>
      <c r="AM192" s="116" t="s">
        <v>717</v>
      </c>
      <c r="AN192" s="116" t="s">
        <v>718</v>
      </c>
      <c r="AO192" s="120">
        <v>43353</v>
      </c>
      <c r="AP192" s="116" t="s">
        <v>111</v>
      </c>
      <c r="AQ192" s="116">
        <v>33</v>
      </c>
      <c r="AR192" s="125"/>
      <c r="AS192" s="122">
        <v>43344</v>
      </c>
      <c r="AT192" s="123"/>
      <c r="AU192" s="116"/>
      <c r="AV192" s="124"/>
      <c r="AW192" s="123"/>
      <c r="AX192" s="116" t="s">
        <v>1378</v>
      </c>
    </row>
    <row r="193" spans="1:50" ht="15" hidden="1">
      <c r="A193" s="116" t="s">
        <v>1655</v>
      </c>
      <c r="B193" s="116" t="s">
        <v>90</v>
      </c>
      <c r="C193" s="116" t="s">
        <v>91</v>
      </c>
      <c r="D193" s="117">
        <v>0</v>
      </c>
      <c r="E193" s="118">
        <v>672.39</v>
      </c>
      <c r="F193" s="118">
        <v>0</v>
      </c>
      <c r="G193" s="118">
        <v>0</v>
      </c>
      <c r="H193" s="118">
        <v>16479.57</v>
      </c>
      <c r="I193" s="118">
        <v>1241.94</v>
      </c>
      <c r="J193" s="118">
        <v>0</v>
      </c>
      <c r="K193" s="118">
        <v>-8200</v>
      </c>
      <c r="L193" s="118">
        <v>0</v>
      </c>
      <c r="M193" s="118">
        <v>0</v>
      </c>
      <c r="N193" s="118">
        <v>9521.51</v>
      </c>
      <c r="O193" s="119">
        <v>16479.57</v>
      </c>
      <c r="P193" s="119">
        <v>0</v>
      </c>
      <c r="Q193" s="119">
        <v>0</v>
      </c>
      <c r="R193" s="119">
        <v>0</v>
      </c>
      <c r="S193" s="119">
        <v>0</v>
      </c>
      <c r="T193" s="116" t="s">
        <v>1656</v>
      </c>
      <c r="U193" s="116" t="s">
        <v>92</v>
      </c>
      <c r="V193" s="116" t="s">
        <v>275</v>
      </c>
      <c r="W193" s="116">
        <v>20171231</v>
      </c>
      <c r="X193" s="116">
        <v>20181230</v>
      </c>
      <c r="Y193" s="116"/>
      <c r="Z193" s="116" t="s">
        <v>922</v>
      </c>
      <c r="AA193" s="116" t="s">
        <v>105</v>
      </c>
      <c r="AB193" s="116" t="s">
        <v>923</v>
      </c>
      <c r="AC193" s="116" t="s">
        <v>114</v>
      </c>
      <c r="AD193" s="116">
        <v>2016</v>
      </c>
      <c r="AE193" s="116" t="s">
        <v>96</v>
      </c>
      <c r="AF193" s="116" t="s">
        <v>954</v>
      </c>
      <c r="AG193" s="116" t="s">
        <v>983</v>
      </c>
      <c r="AH193" s="116" t="s">
        <v>984</v>
      </c>
      <c r="AI193" s="116" t="s">
        <v>108</v>
      </c>
      <c r="AJ193" s="116" t="s">
        <v>985</v>
      </c>
      <c r="AK193" s="116" t="s">
        <v>114</v>
      </c>
      <c r="AL193" s="116" t="s">
        <v>129</v>
      </c>
      <c r="AM193" s="116" t="s">
        <v>567</v>
      </c>
      <c r="AN193" s="116" t="s">
        <v>568</v>
      </c>
      <c r="AO193" s="120">
        <v>43354</v>
      </c>
      <c r="AP193" s="116" t="s">
        <v>111</v>
      </c>
      <c r="AQ193" s="116">
        <v>33</v>
      </c>
      <c r="AR193" s="121" t="s">
        <v>545</v>
      </c>
      <c r="AS193" s="122">
        <v>43344</v>
      </c>
      <c r="AT193" s="123"/>
      <c r="AU193" s="116"/>
      <c r="AV193" s="124"/>
      <c r="AW193" s="123"/>
      <c r="AX193" s="116" t="s">
        <v>984</v>
      </c>
    </row>
    <row r="194" spans="1:50" ht="15" hidden="1">
      <c r="A194" s="116" t="s">
        <v>1659</v>
      </c>
      <c r="B194" s="116" t="s">
        <v>90</v>
      </c>
      <c r="C194" s="116" t="s">
        <v>91</v>
      </c>
      <c r="D194" s="117">
        <v>0</v>
      </c>
      <c r="E194" s="118">
        <v>1099.83</v>
      </c>
      <c r="F194" s="118">
        <v>0</v>
      </c>
      <c r="G194" s="118">
        <v>0</v>
      </c>
      <c r="H194" s="118">
        <v>5293.82</v>
      </c>
      <c r="I194" s="118">
        <v>-1554.63</v>
      </c>
      <c r="J194" s="118">
        <v>0</v>
      </c>
      <c r="K194" s="118">
        <v>-15658</v>
      </c>
      <c r="L194" s="118">
        <v>0</v>
      </c>
      <c r="M194" s="118">
        <v>0</v>
      </c>
      <c r="N194" s="118">
        <v>-11918.81</v>
      </c>
      <c r="O194" s="119">
        <v>5293.82</v>
      </c>
      <c r="P194" s="119">
        <v>0</v>
      </c>
      <c r="Q194" s="119">
        <v>0</v>
      </c>
      <c r="R194" s="119">
        <v>0</v>
      </c>
      <c r="S194" s="119">
        <v>0</v>
      </c>
      <c r="T194" s="116" t="s">
        <v>1660</v>
      </c>
      <c r="U194" s="116" t="s">
        <v>92</v>
      </c>
      <c r="V194" s="116" t="s">
        <v>276</v>
      </c>
      <c r="W194" s="116">
        <v>20171231</v>
      </c>
      <c r="X194" s="116">
        <v>20181230</v>
      </c>
      <c r="Y194" s="116"/>
      <c r="Z194" s="116" t="s">
        <v>922</v>
      </c>
      <c r="AA194" s="116" t="s">
        <v>105</v>
      </c>
      <c r="AB194" s="116" t="s">
        <v>923</v>
      </c>
      <c r="AC194" s="116" t="s">
        <v>122</v>
      </c>
      <c r="AD194" s="116">
        <v>2017</v>
      </c>
      <c r="AE194" s="116" t="s">
        <v>96</v>
      </c>
      <c r="AF194" s="116" t="s">
        <v>954</v>
      </c>
      <c r="AG194" s="116" t="s">
        <v>1596</v>
      </c>
      <c r="AH194" s="116" t="s">
        <v>1597</v>
      </c>
      <c r="AI194" s="116" t="s">
        <v>119</v>
      </c>
      <c r="AJ194" s="116" t="s">
        <v>1598</v>
      </c>
      <c r="AK194" s="116" t="s">
        <v>122</v>
      </c>
      <c r="AL194" s="116" t="s">
        <v>129</v>
      </c>
      <c r="AM194" s="116" t="s">
        <v>618</v>
      </c>
      <c r="AN194" s="116" t="s">
        <v>786</v>
      </c>
      <c r="AO194" s="120">
        <v>43354</v>
      </c>
      <c r="AP194" s="116" t="s">
        <v>111</v>
      </c>
      <c r="AQ194" s="116">
        <v>33</v>
      </c>
      <c r="AR194" s="121" t="s">
        <v>545</v>
      </c>
      <c r="AS194" s="122">
        <v>43344</v>
      </c>
      <c r="AT194" s="123"/>
      <c r="AU194" s="116"/>
      <c r="AV194" s="124"/>
      <c r="AW194" s="123"/>
      <c r="AX194" s="116" t="s">
        <v>1597</v>
      </c>
    </row>
    <row r="195" spans="1:50" ht="15" hidden="1">
      <c r="A195" s="116" t="s">
        <v>1659</v>
      </c>
      <c r="B195" s="116" t="s">
        <v>90</v>
      </c>
      <c r="C195" s="116" t="s">
        <v>91</v>
      </c>
      <c r="D195" s="117">
        <v>0</v>
      </c>
      <c r="E195" s="118">
        <v>729.24</v>
      </c>
      <c r="F195" s="118">
        <v>0</v>
      </c>
      <c r="G195" s="118">
        <v>0</v>
      </c>
      <c r="H195" s="118">
        <v>10501.93</v>
      </c>
      <c r="I195" s="118">
        <v>-773.41</v>
      </c>
      <c r="J195" s="118">
        <v>0</v>
      </c>
      <c r="K195" s="118">
        <v>-15658</v>
      </c>
      <c r="L195" s="118">
        <v>0</v>
      </c>
      <c r="M195" s="118">
        <v>0</v>
      </c>
      <c r="N195" s="118">
        <v>-5929.48</v>
      </c>
      <c r="O195" s="119">
        <v>10501.93</v>
      </c>
      <c r="P195" s="119">
        <v>0</v>
      </c>
      <c r="Q195" s="119">
        <v>0</v>
      </c>
      <c r="R195" s="119">
        <v>0</v>
      </c>
      <c r="S195" s="119">
        <v>0</v>
      </c>
      <c r="T195" s="116" t="s">
        <v>1154</v>
      </c>
      <c r="U195" s="116" t="s">
        <v>92</v>
      </c>
      <c r="V195" s="116" t="s">
        <v>276</v>
      </c>
      <c r="W195" s="116">
        <v>20171231</v>
      </c>
      <c r="X195" s="116">
        <v>20181230</v>
      </c>
      <c r="Y195" s="116"/>
      <c r="Z195" s="116" t="s">
        <v>922</v>
      </c>
      <c r="AA195" s="116" t="s">
        <v>105</v>
      </c>
      <c r="AB195" s="116" t="s">
        <v>923</v>
      </c>
      <c r="AC195" s="116" t="s">
        <v>106</v>
      </c>
      <c r="AD195" s="116">
        <v>2018</v>
      </c>
      <c r="AE195" s="116" t="s">
        <v>96</v>
      </c>
      <c r="AF195" s="116" t="s">
        <v>289</v>
      </c>
      <c r="AG195" s="116" t="s">
        <v>1870</v>
      </c>
      <c r="AH195" s="116" t="s">
        <v>1871</v>
      </c>
      <c r="AI195" s="116" t="s">
        <v>162</v>
      </c>
      <c r="AJ195" s="116" t="s">
        <v>1872</v>
      </c>
      <c r="AK195" s="116" t="s">
        <v>106</v>
      </c>
      <c r="AL195" s="116" t="s">
        <v>129</v>
      </c>
      <c r="AM195" s="116" t="s">
        <v>370</v>
      </c>
      <c r="AN195" s="116" t="s">
        <v>881</v>
      </c>
      <c r="AO195" s="120">
        <v>43362</v>
      </c>
      <c r="AP195" s="116" t="s">
        <v>111</v>
      </c>
      <c r="AQ195" s="116">
        <v>33</v>
      </c>
      <c r="AR195" s="121" t="s">
        <v>545</v>
      </c>
      <c r="AS195" s="122">
        <v>43344</v>
      </c>
      <c r="AT195" s="123"/>
      <c r="AU195" s="116"/>
      <c r="AV195" s="124"/>
      <c r="AW195" s="123"/>
      <c r="AX195" s="116" t="s">
        <v>1871</v>
      </c>
    </row>
    <row r="196" spans="1:50" ht="15" hidden="1">
      <c r="A196" s="116" t="s">
        <v>1666</v>
      </c>
      <c r="B196" s="116" t="s">
        <v>90</v>
      </c>
      <c r="C196" s="116" t="s">
        <v>91</v>
      </c>
      <c r="D196" s="117">
        <v>0</v>
      </c>
      <c r="E196" s="118">
        <v>1269.8</v>
      </c>
      <c r="F196" s="118">
        <v>0</v>
      </c>
      <c r="G196" s="118">
        <v>0</v>
      </c>
      <c r="H196" s="118">
        <v>11569.05</v>
      </c>
      <c r="I196" s="118">
        <v>-214.64</v>
      </c>
      <c r="J196" s="118">
        <v>0</v>
      </c>
      <c r="K196" s="118">
        <v>-13000</v>
      </c>
      <c r="L196" s="118">
        <v>0</v>
      </c>
      <c r="M196" s="118">
        <v>0</v>
      </c>
      <c r="N196" s="118">
        <v>-1645.59</v>
      </c>
      <c r="O196" s="119">
        <v>11569.05</v>
      </c>
      <c r="P196" s="119">
        <v>0</v>
      </c>
      <c r="Q196" s="119">
        <v>0</v>
      </c>
      <c r="R196" s="119">
        <v>0</v>
      </c>
      <c r="S196" s="119">
        <v>0</v>
      </c>
      <c r="T196" s="116" t="s">
        <v>1667</v>
      </c>
      <c r="U196" s="116" t="s">
        <v>92</v>
      </c>
      <c r="V196" s="116" t="s">
        <v>278</v>
      </c>
      <c r="W196" s="116">
        <v>20171231</v>
      </c>
      <c r="X196" s="116">
        <v>20181230</v>
      </c>
      <c r="Y196" s="116"/>
      <c r="Z196" s="116" t="s">
        <v>922</v>
      </c>
      <c r="AA196" s="116" t="s">
        <v>105</v>
      </c>
      <c r="AB196" s="116" t="s">
        <v>1732</v>
      </c>
      <c r="AC196" s="116" t="s">
        <v>106</v>
      </c>
      <c r="AD196" s="116">
        <v>2013</v>
      </c>
      <c r="AE196" s="116" t="s">
        <v>381</v>
      </c>
      <c r="AF196" s="116" t="s">
        <v>1733</v>
      </c>
      <c r="AG196" s="116" t="s">
        <v>1737</v>
      </c>
      <c r="AH196" s="116" t="s">
        <v>1738</v>
      </c>
      <c r="AI196" s="116" t="s">
        <v>162</v>
      </c>
      <c r="AJ196" s="116" t="s">
        <v>1739</v>
      </c>
      <c r="AK196" s="116" t="s">
        <v>106</v>
      </c>
      <c r="AL196" s="116" t="s">
        <v>129</v>
      </c>
      <c r="AM196" s="116" t="s">
        <v>836</v>
      </c>
      <c r="AN196" s="116" t="s">
        <v>837</v>
      </c>
      <c r="AO196" s="120">
        <v>43363</v>
      </c>
      <c r="AP196" s="116" t="s">
        <v>111</v>
      </c>
      <c r="AQ196" s="116">
        <v>33</v>
      </c>
      <c r="AR196" s="121" t="s">
        <v>554</v>
      </c>
      <c r="AS196" s="122">
        <v>43344</v>
      </c>
      <c r="AT196" s="123"/>
      <c r="AU196" s="116"/>
      <c r="AV196" s="124"/>
      <c r="AW196" s="123"/>
      <c r="AX196" s="116" t="s">
        <v>1738</v>
      </c>
    </row>
    <row r="197" spans="1:50" ht="15" hidden="1">
      <c r="A197" s="116" t="s">
        <v>1670</v>
      </c>
      <c r="B197" s="116" t="s">
        <v>90</v>
      </c>
      <c r="C197" s="116" t="s">
        <v>91</v>
      </c>
      <c r="D197" s="117">
        <v>0</v>
      </c>
      <c r="E197" s="118">
        <v>626.58000000000004</v>
      </c>
      <c r="F197" s="118">
        <v>0</v>
      </c>
      <c r="G197" s="118">
        <v>0</v>
      </c>
      <c r="H197" s="118">
        <v>18473.73</v>
      </c>
      <c r="I197" s="118">
        <v>3922.38</v>
      </c>
      <c r="J197" s="118">
        <v>0</v>
      </c>
      <c r="K197" s="118">
        <v>0</v>
      </c>
      <c r="L197" s="118">
        <v>0</v>
      </c>
      <c r="M197" s="118">
        <v>7675.49</v>
      </c>
      <c r="N197" s="118">
        <v>30071.599999999999</v>
      </c>
      <c r="O197" s="119">
        <v>18473.73</v>
      </c>
      <c r="P197" s="119">
        <v>0</v>
      </c>
      <c r="Q197" s="119">
        <v>0</v>
      </c>
      <c r="R197" s="119">
        <v>0</v>
      </c>
      <c r="S197" s="119">
        <v>0</v>
      </c>
      <c r="T197" s="116" t="s">
        <v>1340</v>
      </c>
      <c r="U197" s="116" t="s">
        <v>92</v>
      </c>
      <c r="V197" s="116" t="s">
        <v>279</v>
      </c>
      <c r="W197" s="116">
        <v>20171231</v>
      </c>
      <c r="X197" s="116">
        <v>20181230</v>
      </c>
      <c r="Y197" s="116"/>
      <c r="Z197" s="116" t="s">
        <v>922</v>
      </c>
      <c r="AA197" s="116" t="s">
        <v>105</v>
      </c>
      <c r="AB197" s="116" t="s">
        <v>1210</v>
      </c>
      <c r="AC197" s="116" t="s">
        <v>106</v>
      </c>
      <c r="AD197" s="116">
        <v>2016</v>
      </c>
      <c r="AE197" s="116" t="s">
        <v>96</v>
      </c>
      <c r="AF197" s="116" t="s">
        <v>1211</v>
      </c>
      <c r="AG197" s="116" t="s">
        <v>1267</v>
      </c>
      <c r="AH197" s="116" t="s">
        <v>1268</v>
      </c>
      <c r="AI197" s="116" t="s">
        <v>162</v>
      </c>
      <c r="AJ197" s="116" t="s">
        <v>1269</v>
      </c>
      <c r="AK197" s="116" t="s">
        <v>106</v>
      </c>
      <c r="AL197" s="116" t="s">
        <v>129</v>
      </c>
      <c r="AM197" s="116" t="s">
        <v>672</v>
      </c>
      <c r="AN197" s="116" t="s">
        <v>673</v>
      </c>
      <c r="AO197" s="120">
        <v>43364</v>
      </c>
      <c r="AP197" s="116" t="s">
        <v>111</v>
      </c>
      <c r="AQ197" s="116">
        <v>33</v>
      </c>
      <c r="AR197" s="125"/>
      <c r="AS197" s="122">
        <v>43344</v>
      </c>
      <c r="AT197" s="123"/>
      <c r="AU197" s="116"/>
      <c r="AV197" s="124"/>
      <c r="AW197" s="123"/>
      <c r="AX197" s="116" t="s">
        <v>1268</v>
      </c>
    </row>
    <row r="198" spans="1:50" ht="15" hidden="1">
      <c r="A198" s="116" t="s">
        <v>1674</v>
      </c>
      <c r="B198" s="116" t="s">
        <v>90</v>
      </c>
      <c r="C198" s="116" t="s">
        <v>91</v>
      </c>
      <c r="D198" s="117">
        <v>0</v>
      </c>
      <c r="E198" s="118">
        <v>823.46</v>
      </c>
      <c r="F198" s="118">
        <v>0</v>
      </c>
      <c r="G198" s="118">
        <v>0</v>
      </c>
      <c r="H198" s="118">
        <v>2668.5</v>
      </c>
      <c r="I198" s="118">
        <v>802.78</v>
      </c>
      <c r="J198" s="118">
        <v>0</v>
      </c>
      <c r="K198" s="118">
        <v>0</v>
      </c>
      <c r="L198" s="118">
        <v>0</v>
      </c>
      <c r="M198" s="118">
        <v>0</v>
      </c>
      <c r="N198" s="118">
        <v>3471.28</v>
      </c>
      <c r="O198" s="119">
        <v>0</v>
      </c>
      <c r="P198" s="119">
        <v>0</v>
      </c>
      <c r="Q198" s="119">
        <v>0</v>
      </c>
      <c r="R198" s="119">
        <v>2668.5</v>
      </c>
      <c r="S198" s="119">
        <v>0</v>
      </c>
      <c r="T198" s="116" t="s">
        <v>1069</v>
      </c>
      <c r="U198" s="116" t="s">
        <v>92</v>
      </c>
      <c r="V198" s="116" t="s">
        <v>280</v>
      </c>
      <c r="W198" s="116">
        <v>20171231</v>
      </c>
      <c r="X198" s="116">
        <v>20181230</v>
      </c>
      <c r="Y198" s="116"/>
      <c r="Z198" s="116" t="s">
        <v>922</v>
      </c>
      <c r="AA198" s="116" t="s">
        <v>105</v>
      </c>
      <c r="AB198" s="116" t="s">
        <v>923</v>
      </c>
      <c r="AC198" s="116" t="s">
        <v>156</v>
      </c>
      <c r="AD198" s="116">
        <v>2017</v>
      </c>
      <c r="AE198" s="116" t="s">
        <v>96</v>
      </c>
      <c r="AF198" s="116" t="s">
        <v>954</v>
      </c>
      <c r="AG198" s="116" t="s">
        <v>1600</v>
      </c>
      <c r="AH198" s="116" t="s">
        <v>1601</v>
      </c>
      <c r="AI198" s="116" t="s">
        <v>108</v>
      </c>
      <c r="AJ198" s="116" t="s">
        <v>1602</v>
      </c>
      <c r="AK198" s="116" t="s">
        <v>156</v>
      </c>
      <c r="AL198" s="116" t="s">
        <v>129</v>
      </c>
      <c r="AM198" s="116" t="s">
        <v>756</v>
      </c>
      <c r="AN198" s="116" t="s">
        <v>787</v>
      </c>
      <c r="AO198" s="120">
        <v>43364</v>
      </c>
      <c r="AP198" s="116" t="s">
        <v>111</v>
      </c>
      <c r="AQ198" s="116">
        <v>33</v>
      </c>
      <c r="AR198" s="125"/>
      <c r="AS198" s="122">
        <v>43344</v>
      </c>
      <c r="AT198" s="123"/>
      <c r="AU198" s="116"/>
      <c r="AV198" s="124"/>
      <c r="AW198" s="123"/>
      <c r="AX198" s="116" t="s">
        <v>1601</v>
      </c>
    </row>
    <row r="199" spans="1:50" ht="15" hidden="1">
      <c r="A199" s="116" t="s">
        <v>1678</v>
      </c>
      <c r="B199" s="116" t="s">
        <v>90</v>
      </c>
      <c r="C199" s="116" t="s">
        <v>91</v>
      </c>
      <c r="D199" s="117">
        <v>0</v>
      </c>
      <c r="E199" s="118">
        <v>3560.25</v>
      </c>
      <c r="F199" s="118">
        <v>0</v>
      </c>
      <c r="G199" s="118">
        <v>0</v>
      </c>
      <c r="H199" s="118">
        <v>25086.7</v>
      </c>
      <c r="I199" s="118">
        <v>1414.31</v>
      </c>
      <c r="J199" s="118">
        <v>0</v>
      </c>
      <c r="K199" s="118">
        <v>-15658</v>
      </c>
      <c r="L199" s="118">
        <v>0</v>
      </c>
      <c r="M199" s="118">
        <v>0</v>
      </c>
      <c r="N199" s="118">
        <v>10843.01</v>
      </c>
      <c r="O199" s="119">
        <v>25086.7</v>
      </c>
      <c r="P199" s="119">
        <v>0</v>
      </c>
      <c r="Q199" s="119">
        <v>0</v>
      </c>
      <c r="R199" s="119">
        <v>0</v>
      </c>
      <c r="S199" s="119">
        <v>0</v>
      </c>
      <c r="T199" s="116" t="s">
        <v>1150</v>
      </c>
      <c r="U199" s="116" t="s">
        <v>92</v>
      </c>
      <c r="V199" s="116" t="s">
        <v>281</v>
      </c>
      <c r="W199" s="116">
        <v>20171231</v>
      </c>
      <c r="X199" s="116">
        <v>20181230</v>
      </c>
      <c r="Y199" s="116"/>
      <c r="Z199" s="116" t="s">
        <v>922</v>
      </c>
      <c r="AA199" s="116" t="s">
        <v>105</v>
      </c>
      <c r="AB199" s="116" t="s">
        <v>923</v>
      </c>
      <c r="AC199" s="116" t="s">
        <v>114</v>
      </c>
      <c r="AD199" s="116">
        <v>2017</v>
      </c>
      <c r="AE199" s="116" t="s">
        <v>96</v>
      </c>
      <c r="AF199" s="116" t="s">
        <v>954</v>
      </c>
      <c r="AG199" s="116" t="s">
        <v>1541</v>
      </c>
      <c r="AH199" s="116" t="s">
        <v>938</v>
      </c>
      <c r="AI199" s="116" t="s">
        <v>108</v>
      </c>
      <c r="AJ199" s="116" t="s">
        <v>1542</v>
      </c>
      <c r="AK199" s="116" t="s">
        <v>210</v>
      </c>
      <c r="AL199" s="116" t="s">
        <v>129</v>
      </c>
      <c r="AM199" s="116" t="s">
        <v>768</v>
      </c>
      <c r="AN199" s="116"/>
      <c r="AO199" s="120">
        <v>43365</v>
      </c>
      <c r="AP199" s="116" t="s">
        <v>111</v>
      </c>
      <c r="AQ199" s="116">
        <v>33</v>
      </c>
      <c r="AR199" s="125"/>
      <c r="AS199" s="122">
        <v>43344</v>
      </c>
      <c r="AT199" s="123"/>
      <c r="AU199" s="116"/>
      <c r="AV199" s="124"/>
      <c r="AW199" s="123"/>
      <c r="AX199" s="116" t="s">
        <v>938</v>
      </c>
    </row>
    <row r="200" spans="1:50" ht="15" hidden="1">
      <c r="A200" s="116" t="s">
        <v>1681</v>
      </c>
      <c r="B200" s="116" t="s">
        <v>90</v>
      </c>
      <c r="C200" s="116" t="s">
        <v>91</v>
      </c>
      <c r="D200" s="117">
        <v>5251.66</v>
      </c>
      <c r="E200" s="118">
        <v>1327.33</v>
      </c>
      <c r="F200" s="118">
        <v>0</v>
      </c>
      <c r="G200" s="118">
        <v>0</v>
      </c>
      <c r="H200" s="118">
        <v>47858.45</v>
      </c>
      <c r="I200" s="118">
        <v>18305.849999999999</v>
      </c>
      <c r="J200" s="118">
        <v>0</v>
      </c>
      <c r="K200" s="118">
        <v>-6319.45</v>
      </c>
      <c r="L200" s="118">
        <v>0</v>
      </c>
      <c r="M200" s="118">
        <v>0</v>
      </c>
      <c r="N200" s="118">
        <v>59844.85</v>
      </c>
      <c r="O200" s="119">
        <v>47858.45</v>
      </c>
      <c r="P200" s="119">
        <v>0</v>
      </c>
      <c r="Q200" s="119">
        <v>0</v>
      </c>
      <c r="R200" s="119">
        <v>0</v>
      </c>
      <c r="S200" s="119">
        <v>0</v>
      </c>
      <c r="T200" s="116" t="s">
        <v>941</v>
      </c>
      <c r="U200" s="116" t="s">
        <v>92</v>
      </c>
      <c r="V200" s="116" t="s">
        <v>283</v>
      </c>
      <c r="W200" s="116">
        <v>20171231</v>
      </c>
      <c r="X200" s="116">
        <v>20181230</v>
      </c>
      <c r="Y200" s="116"/>
      <c r="Z200" s="116" t="s">
        <v>922</v>
      </c>
      <c r="AA200" s="116" t="s">
        <v>105</v>
      </c>
      <c r="AB200" s="116" t="s">
        <v>1210</v>
      </c>
      <c r="AC200" s="116" t="s">
        <v>106</v>
      </c>
      <c r="AD200" s="116">
        <v>2018</v>
      </c>
      <c r="AE200" s="116" t="s">
        <v>96</v>
      </c>
      <c r="AF200" s="116" t="s">
        <v>1211</v>
      </c>
      <c r="AG200" s="116" t="s">
        <v>1774</v>
      </c>
      <c r="AH200" s="116" t="s">
        <v>1775</v>
      </c>
      <c r="AI200" s="116" t="s">
        <v>108</v>
      </c>
      <c r="AJ200" s="116" t="s">
        <v>1776</v>
      </c>
      <c r="AK200" s="116" t="s">
        <v>114</v>
      </c>
      <c r="AL200" s="116" t="s">
        <v>548</v>
      </c>
      <c r="AM200" s="116" t="s">
        <v>847</v>
      </c>
      <c r="AN200" s="116" t="s">
        <v>848</v>
      </c>
      <c r="AO200" s="120">
        <v>43367</v>
      </c>
      <c r="AP200" s="116" t="s">
        <v>111</v>
      </c>
      <c r="AQ200" s="116">
        <v>33</v>
      </c>
      <c r="AR200" s="121" t="s">
        <v>554</v>
      </c>
      <c r="AS200" s="122">
        <v>43344</v>
      </c>
      <c r="AT200" s="123"/>
      <c r="AU200" s="116"/>
      <c r="AV200" s="124"/>
      <c r="AW200" s="123"/>
      <c r="AX200" s="116" t="s">
        <v>1775</v>
      </c>
    </row>
    <row r="201" spans="1:50" ht="15" hidden="1">
      <c r="A201" s="116" t="s">
        <v>1685</v>
      </c>
      <c r="B201" s="116" t="s">
        <v>90</v>
      </c>
      <c r="C201" s="116" t="s">
        <v>91</v>
      </c>
      <c r="D201" s="117">
        <v>0</v>
      </c>
      <c r="E201" s="118">
        <v>569.35</v>
      </c>
      <c r="F201" s="118">
        <v>0</v>
      </c>
      <c r="G201" s="118">
        <v>0</v>
      </c>
      <c r="H201" s="118">
        <v>1278.6400000000001</v>
      </c>
      <c r="I201" s="118">
        <v>191.8</v>
      </c>
      <c r="J201" s="118">
        <v>0</v>
      </c>
      <c r="K201" s="118">
        <v>0</v>
      </c>
      <c r="L201" s="118">
        <v>0</v>
      </c>
      <c r="M201" s="118">
        <v>0</v>
      </c>
      <c r="N201" s="118">
        <v>1470.44</v>
      </c>
      <c r="O201" s="119">
        <v>1278.6400000000001</v>
      </c>
      <c r="P201" s="119">
        <v>0</v>
      </c>
      <c r="Q201" s="119">
        <v>0</v>
      </c>
      <c r="R201" s="119">
        <v>0</v>
      </c>
      <c r="S201" s="119">
        <v>0</v>
      </c>
      <c r="T201" s="116" t="s">
        <v>1686</v>
      </c>
      <c r="U201" s="116" t="s">
        <v>92</v>
      </c>
      <c r="V201" s="116" t="s">
        <v>284</v>
      </c>
      <c r="W201" s="116">
        <v>20171231</v>
      </c>
      <c r="X201" s="116">
        <v>20181230</v>
      </c>
      <c r="Y201" s="116"/>
      <c r="Z201" s="116" t="s">
        <v>922</v>
      </c>
      <c r="AA201" s="116" t="s">
        <v>105</v>
      </c>
      <c r="AB201" s="116" t="s">
        <v>1210</v>
      </c>
      <c r="AC201" s="116" t="s">
        <v>131</v>
      </c>
      <c r="AD201" s="116">
        <v>2016</v>
      </c>
      <c r="AE201" s="116" t="s">
        <v>96</v>
      </c>
      <c r="AF201" s="116" t="s">
        <v>1211</v>
      </c>
      <c r="AG201" s="116" t="s">
        <v>1212</v>
      </c>
      <c r="AH201" s="116" t="s">
        <v>1213</v>
      </c>
      <c r="AI201" s="116" t="s">
        <v>108</v>
      </c>
      <c r="AJ201" s="116" t="s">
        <v>1214</v>
      </c>
      <c r="AK201" s="116" t="s">
        <v>141</v>
      </c>
      <c r="AL201" s="116" t="s">
        <v>129</v>
      </c>
      <c r="AM201" s="116" t="s">
        <v>650</v>
      </c>
      <c r="AN201" s="116"/>
      <c r="AO201" s="120">
        <v>43369</v>
      </c>
      <c r="AP201" s="116" t="s">
        <v>111</v>
      </c>
      <c r="AQ201" s="116">
        <v>33</v>
      </c>
      <c r="AR201" s="125"/>
      <c r="AS201" s="122">
        <v>43344</v>
      </c>
      <c r="AT201" s="123"/>
      <c r="AU201" s="116"/>
      <c r="AV201" s="124"/>
      <c r="AW201" s="123"/>
      <c r="AX201" s="116" t="s">
        <v>1213</v>
      </c>
    </row>
    <row r="202" spans="1:50" ht="15" hidden="1">
      <c r="A202" s="116" t="s">
        <v>1690</v>
      </c>
      <c r="B202" s="116" t="s">
        <v>90</v>
      </c>
      <c r="C202" s="116" t="s">
        <v>91</v>
      </c>
      <c r="D202" s="117">
        <v>0</v>
      </c>
      <c r="E202" s="118">
        <v>1188.93</v>
      </c>
      <c r="F202" s="118">
        <v>0</v>
      </c>
      <c r="G202" s="118">
        <v>0</v>
      </c>
      <c r="H202" s="118">
        <v>3149.68</v>
      </c>
      <c r="I202" s="118">
        <v>472.45</v>
      </c>
      <c r="J202" s="118">
        <v>0</v>
      </c>
      <c r="K202" s="118">
        <v>0</v>
      </c>
      <c r="L202" s="118">
        <v>0</v>
      </c>
      <c r="M202" s="118">
        <v>0</v>
      </c>
      <c r="N202" s="118">
        <v>3622.13</v>
      </c>
      <c r="O202" s="119">
        <v>3149.68</v>
      </c>
      <c r="P202" s="119">
        <v>0</v>
      </c>
      <c r="Q202" s="119">
        <v>0</v>
      </c>
      <c r="R202" s="119">
        <v>0</v>
      </c>
      <c r="S202" s="119">
        <v>0</v>
      </c>
      <c r="T202" s="116" t="s">
        <v>1691</v>
      </c>
      <c r="U202" s="116" t="s">
        <v>92</v>
      </c>
      <c r="V202" s="116" t="s">
        <v>285</v>
      </c>
      <c r="W202" s="116">
        <v>20171231</v>
      </c>
      <c r="X202" s="116">
        <v>20181230</v>
      </c>
      <c r="Y202" s="116"/>
      <c r="Z202" s="116" t="s">
        <v>922</v>
      </c>
      <c r="AA202" s="116" t="s">
        <v>105</v>
      </c>
      <c r="AB202" s="116" t="s">
        <v>923</v>
      </c>
      <c r="AC202" s="116" t="s">
        <v>106</v>
      </c>
      <c r="AD202" s="116">
        <v>2017</v>
      </c>
      <c r="AE202" s="116" t="s">
        <v>96</v>
      </c>
      <c r="AF202" s="116" t="s">
        <v>954</v>
      </c>
      <c r="AG202" s="116" t="s">
        <v>1551</v>
      </c>
      <c r="AH202" s="116" t="s">
        <v>1552</v>
      </c>
      <c r="AI202" s="116" t="s">
        <v>108</v>
      </c>
      <c r="AJ202" s="116" t="s">
        <v>1553</v>
      </c>
      <c r="AK202" s="116" t="s">
        <v>109</v>
      </c>
      <c r="AL202" s="116" t="s">
        <v>129</v>
      </c>
      <c r="AM202" s="116" t="s">
        <v>705</v>
      </c>
      <c r="AN202" s="116"/>
      <c r="AO202" s="120">
        <v>43370</v>
      </c>
      <c r="AP202" s="116" t="s">
        <v>111</v>
      </c>
      <c r="AQ202" s="116">
        <v>33</v>
      </c>
      <c r="AR202" s="125"/>
      <c r="AS202" s="122">
        <v>43344</v>
      </c>
      <c r="AT202" s="123"/>
      <c r="AU202" s="116"/>
      <c r="AV202" s="124"/>
      <c r="AW202" s="123"/>
      <c r="AX202" s="116" t="s">
        <v>1552</v>
      </c>
    </row>
    <row r="203" spans="1:50" ht="15" hidden="1">
      <c r="A203" s="116" t="s">
        <v>1694</v>
      </c>
      <c r="B203" s="116" t="s">
        <v>90</v>
      </c>
      <c r="C203" s="116" t="s">
        <v>91</v>
      </c>
      <c r="D203" s="117">
        <v>0</v>
      </c>
      <c r="E203" s="118">
        <v>1538.77</v>
      </c>
      <c r="F203" s="118">
        <v>0</v>
      </c>
      <c r="G203" s="118">
        <v>0</v>
      </c>
      <c r="H203" s="118">
        <v>0</v>
      </c>
      <c r="I203" s="118">
        <v>-1788.45</v>
      </c>
      <c r="J203" s="118">
        <v>0</v>
      </c>
      <c r="K203" s="118">
        <v>-15658</v>
      </c>
      <c r="L203" s="118">
        <v>0</v>
      </c>
      <c r="M203" s="118">
        <v>3735</v>
      </c>
      <c r="N203" s="118">
        <v>-13711.45</v>
      </c>
      <c r="O203" s="119">
        <v>0</v>
      </c>
      <c r="P203" s="119">
        <v>0</v>
      </c>
      <c r="Q203" s="119">
        <v>0</v>
      </c>
      <c r="R203" s="119">
        <v>0</v>
      </c>
      <c r="S203" s="119">
        <v>0</v>
      </c>
      <c r="T203" s="116" t="s">
        <v>1695</v>
      </c>
      <c r="U203" s="116" t="s">
        <v>372</v>
      </c>
      <c r="V203" s="116" t="s">
        <v>373</v>
      </c>
      <c r="W203" s="116">
        <v>20171231</v>
      </c>
      <c r="X203" s="116">
        <v>20181230</v>
      </c>
      <c r="Y203" s="116"/>
      <c r="Z203" s="116" t="s">
        <v>922</v>
      </c>
      <c r="AA203" s="116" t="s">
        <v>105</v>
      </c>
      <c r="AB203" s="116" t="s">
        <v>923</v>
      </c>
      <c r="AC203" s="116" t="s">
        <v>104</v>
      </c>
      <c r="AD203" s="116">
        <v>2016</v>
      </c>
      <c r="AE203" s="116" t="s">
        <v>96</v>
      </c>
      <c r="AF203" s="116" t="s">
        <v>954</v>
      </c>
      <c r="AG203" s="116" t="s">
        <v>1032</v>
      </c>
      <c r="AH203" s="116" t="s">
        <v>1033</v>
      </c>
      <c r="AI203" s="116" t="s">
        <v>108</v>
      </c>
      <c r="AJ203" s="116" t="s">
        <v>1034</v>
      </c>
      <c r="AK203" s="116" t="s">
        <v>237</v>
      </c>
      <c r="AL203" s="116" t="s">
        <v>129</v>
      </c>
      <c r="AM203" s="116" t="s">
        <v>423</v>
      </c>
      <c r="AN203" s="116"/>
      <c r="AO203" s="120">
        <v>43371</v>
      </c>
      <c r="AP203" s="116" t="s">
        <v>111</v>
      </c>
      <c r="AQ203" s="116">
        <v>33</v>
      </c>
      <c r="AR203" s="125"/>
      <c r="AS203" s="122">
        <v>43344</v>
      </c>
      <c r="AT203" s="123"/>
      <c r="AU203" s="116"/>
      <c r="AV203" s="124"/>
      <c r="AW203" s="123"/>
      <c r="AX203" s="116" t="s">
        <v>1033</v>
      </c>
    </row>
    <row r="204" spans="1:50" ht="15" hidden="1">
      <c r="A204" s="116" t="s">
        <v>1694</v>
      </c>
      <c r="B204" s="116" t="s">
        <v>90</v>
      </c>
      <c r="C204" s="116" t="s">
        <v>91</v>
      </c>
      <c r="D204" s="117">
        <v>0</v>
      </c>
      <c r="E204" s="118">
        <v>2978.27</v>
      </c>
      <c r="F204" s="118">
        <v>0</v>
      </c>
      <c r="G204" s="118">
        <v>0</v>
      </c>
      <c r="H204" s="118">
        <v>29894.36</v>
      </c>
      <c r="I204" s="118">
        <v>4861.1499999999996</v>
      </c>
      <c r="J204" s="118">
        <v>0</v>
      </c>
      <c r="K204" s="118">
        <v>0</v>
      </c>
      <c r="L204" s="118">
        <v>0</v>
      </c>
      <c r="M204" s="118">
        <v>290</v>
      </c>
      <c r="N204" s="118">
        <v>35045.51</v>
      </c>
      <c r="O204" s="119">
        <v>0</v>
      </c>
      <c r="P204" s="119">
        <v>0</v>
      </c>
      <c r="Q204" s="119">
        <v>0</v>
      </c>
      <c r="R204" s="119">
        <v>29894.36</v>
      </c>
      <c r="S204" s="119">
        <v>0</v>
      </c>
      <c r="T204" s="116" t="s">
        <v>1515</v>
      </c>
      <c r="U204" s="116" t="s">
        <v>372</v>
      </c>
      <c r="V204" s="116" t="s">
        <v>373</v>
      </c>
      <c r="W204" s="116">
        <v>20171231</v>
      </c>
      <c r="X204" s="116">
        <v>20181230</v>
      </c>
      <c r="Y204" s="116"/>
      <c r="Z204" s="116" t="s">
        <v>922</v>
      </c>
      <c r="AA204" s="116" t="s">
        <v>105</v>
      </c>
      <c r="AB204" s="116" t="s">
        <v>923</v>
      </c>
      <c r="AC204" s="116" t="s">
        <v>131</v>
      </c>
      <c r="AD204" s="116">
        <v>2017</v>
      </c>
      <c r="AE204" s="116" t="s">
        <v>96</v>
      </c>
      <c r="AF204" s="116" t="s">
        <v>954</v>
      </c>
      <c r="AG204" s="116" t="s">
        <v>1622</v>
      </c>
      <c r="AH204" s="116" t="s">
        <v>266</v>
      </c>
      <c r="AI204" s="116" t="s">
        <v>108</v>
      </c>
      <c r="AJ204" s="116" t="s">
        <v>1623</v>
      </c>
      <c r="AK204" s="116" t="s">
        <v>141</v>
      </c>
      <c r="AL204" s="116" t="s">
        <v>129</v>
      </c>
      <c r="AM204" s="116" t="s">
        <v>676</v>
      </c>
      <c r="AN204" s="116"/>
      <c r="AO204" s="120">
        <v>43371</v>
      </c>
      <c r="AP204" s="116" t="s">
        <v>111</v>
      </c>
      <c r="AQ204" s="116">
        <v>33</v>
      </c>
      <c r="AR204" s="125"/>
      <c r="AS204" s="122">
        <v>43344</v>
      </c>
      <c r="AT204" s="123"/>
      <c r="AU204" s="116"/>
      <c r="AV204" s="124"/>
      <c r="AW204" s="123"/>
      <c r="AX204" s="116" t="s">
        <v>266</v>
      </c>
    </row>
    <row r="205" spans="1:50" ht="15" hidden="1">
      <c r="A205" s="116" t="s">
        <v>1703</v>
      </c>
      <c r="B205" s="116" t="s">
        <v>90</v>
      </c>
      <c r="C205" s="116" t="s">
        <v>91</v>
      </c>
      <c r="D205" s="117">
        <v>-18068.189999999999</v>
      </c>
      <c r="E205" s="118">
        <v>-49.64</v>
      </c>
      <c r="F205" s="118">
        <v>0</v>
      </c>
      <c r="G205" s="118">
        <v>0</v>
      </c>
      <c r="H205" s="118">
        <v>0</v>
      </c>
      <c r="I205" s="118">
        <v>2348.6999999999998</v>
      </c>
      <c r="J205" s="118">
        <v>0</v>
      </c>
      <c r="K205" s="118">
        <v>0</v>
      </c>
      <c r="L205" s="118">
        <v>0</v>
      </c>
      <c r="M205" s="118">
        <v>15658</v>
      </c>
      <c r="N205" s="118">
        <v>18006.7</v>
      </c>
      <c r="O205" s="119">
        <v>0</v>
      </c>
      <c r="P205" s="119">
        <v>0</v>
      </c>
      <c r="Q205" s="119">
        <v>0</v>
      </c>
      <c r="R205" s="119">
        <v>0</v>
      </c>
      <c r="S205" s="119">
        <v>0</v>
      </c>
      <c r="T205" s="116" t="s">
        <v>1704</v>
      </c>
      <c r="U205" s="116" t="s">
        <v>372</v>
      </c>
      <c r="V205" s="116" t="s">
        <v>375</v>
      </c>
      <c r="W205" s="116">
        <v>20171231</v>
      </c>
      <c r="X205" s="116">
        <v>20181230</v>
      </c>
      <c r="Y205" s="116"/>
      <c r="Z205" s="116" t="s">
        <v>922</v>
      </c>
      <c r="AA205" s="116" t="s">
        <v>105</v>
      </c>
      <c r="AB205" s="116" t="s">
        <v>923</v>
      </c>
      <c r="AC205" s="116" t="s">
        <v>106</v>
      </c>
      <c r="AD205" s="116">
        <v>2018</v>
      </c>
      <c r="AE205" s="116" t="s">
        <v>96</v>
      </c>
      <c r="AF205" s="116" t="s">
        <v>289</v>
      </c>
      <c r="AG205" s="116" t="s">
        <v>1834</v>
      </c>
      <c r="AH205" s="116" t="s">
        <v>1835</v>
      </c>
      <c r="AI205" s="116" t="s">
        <v>162</v>
      </c>
      <c r="AJ205" s="116" t="s">
        <v>1836</v>
      </c>
      <c r="AK205" s="116" t="s">
        <v>120</v>
      </c>
      <c r="AL205" s="116" t="s">
        <v>129</v>
      </c>
      <c r="AM205" s="116" t="s">
        <v>868</v>
      </c>
      <c r="AN205" s="116"/>
      <c r="AO205" s="120">
        <v>43371</v>
      </c>
      <c r="AP205" s="116" t="s">
        <v>111</v>
      </c>
      <c r="AQ205" s="116">
        <v>33</v>
      </c>
      <c r="AR205" s="125"/>
      <c r="AS205" s="122">
        <v>43344</v>
      </c>
      <c r="AT205" s="123"/>
      <c r="AU205" s="116"/>
      <c r="AV205" s="124"/>
      <c r="AW205" s="123"/>
      <c r="AX205" s="116" t="s">
        <v>1835</v>
      </c>
    </row>
    <row r="206" spans="1:50" ht="15" hidden="1">
      <c r="A206" s="116" t="s">
        <v>1707</v>
      </c>
      <c r="B206" s="116" t="s">
        <v>90</v>
      </c>
      <c r="C206" s="116" t="s">
        <v>91</v>
      </c>
      <c r="D206" s="117">
        <v>0</v>
      </c>
      <c r="E206" s="118">
        <v>4566.68</v>
      </c>
      <c r="F206" s="118">
        <v>0</v>
      </c>
      <c r="G206" s="118">
        <v>0</v>
      </c>
      <c r="H206" s="118">
        <v>16260.72</v>
      </c>
      <c r="I206" s="118">
        <v>3492.11</v>
      </c>
      <c r="J206" s="118">
        <v>0</v>
      </c>
      <c r="K206" s="118">
        <v>-10000</v>
      </c>
      <c r="L206" s="118">
        <v>0</v>
      </c>
      <c r="M206" s="118">
        <v>0</v>
      </c>
      <c r="N206" s="118">
        <v>9752.83</v>
      </c>
      <c r="O206" s="119">
        <v>16260.72</v>
      </c>
      <c r="P206" s="119">
        <v>0</v>
      </c>
      <c r="Q206" s="119">
        <v>0</v>
      </c>
      <c r="R206" s="119">
        <v>0</v>
      </c>
      <c r="S206" s="119">
        <v>0</v>
      </c>
      <c r="T206" s="116" t="s">
        <v>1708</v>
      </c>
      <c r="U206" s="116" t="s">
        <v>372</v>
      </c>
      <c r="V206" s="116" t="s">
        <v>376</v>
      </c>
      <c r="W206" s="116">
        <v>20171231</v>
      </c>
      <c r="X206" s="116">
        <v>20181230</v>
      </c>
      <c r="Y206" s="116"/>
      <c r="Z206" s="116" t="s">
        <v>922</v>
      </c>
      <c r="AA206" s="116" t="s">
        <v>105</v>
      </c>
      <c r="AB206" s="116" t="s">
        <v>923</v>
      </c>
      <c r="AC206" s="116" t="s">
        <v>123</v>
      </c>
      <c r="AD206" s="116">
        <v>2017</v>
      </c>
      <c r="AE206" s="116" t="s">
        <v>96</v>
      </c>
      <c r="AF206" s="116" t="s">
        <v>954</v>
      </c>
      <c r="AG206" s="116" t="s">
        <v>1421</v>
      </c>
      <c r="AH206" s="116" t="s">
        <v>1422</v>
      </c>
      <c r="AI206" s="116" t="s">
        <v>108</v>
      </c>
      <c r="AJ206" s="116" t="s">
        <v>1423</v>
      </c>
      <c r="AK206" s="116" t="s">
        <v>258</v>
      </c>
      <c r="AL206" s="116" t="s">
        <v>129</v>
      </c>
      <c r="AM206" s="116" t="s">
        <v>736</v>
      </c>
      <c r="AN206" s="116"/>
      <c r="AO206" s="120">
        <v>43377</v>
      </c>
      <c r="AP206" s="116" t="s">
        <v>111</v>
      </c>
      <c r="AQ206" s="116">
        <v>33</v>
      </c>
      <c r="AR206" s="125"/>
      <c r="AS206" s="122">
        <v>43374</v>
      </c>
      <c r="AT206" s="123"/>
      <c r="AU206" s="116"/>
      <c r="AV206" s="124"/>
      <c r="AW206" s="123"/>
      <c r="AX206" s="116" t="s">
        <v>1422</v>
      </c>
    </row>
    <row r="207" spans="1:50" ht="15" hidden="1">
      <c r="A207" s="116" t="s">
        <v>1711</v>
      </c>
      <c r="B207" s="116" t="s">
        <v>90</v>
      </c>
      <c r="C207" s="116" t="s">
        <v>91</v>
      </c>
      <c r="D207" s="117">
        <v>18916.13</v>
      </c>
      <c r="E207" s="118">
        <v>9406.1</v>
      </c>
      <c r="F207" s="118">
        <v>18916.13</v>
      </c>
      <c r="G207" s="118">
        <v>18916.13</v>
      </c>
      <c r="H207" s="118">
        <v>15658</v>
      </c>
      <c r="I207" s="118">
        <v>2348.6999999999998</v>
      </c>
      <c r="J207" s="118">
        <v>0</v>
      </c>
      <c r="K207" s="118">
        <v>0</v>
      </c>
      <c r="L207" s="118">
        <v>0</v>
      </c>
      <c r="M207" s="118">
        <v>0</v>
      </c>
      <c r="N207" s="118">
        <v>18006.7</v>
      </c>
      <c r="O207" s="119">
        <v>0</v>
      </c>
      <c r="P207" s="119">
        <v>0</v>
      </c>
      <c r="Q207" s="119">
        <v>0</v>
      </c>
      <c r="R207" s="119">
        <v>15658</v>
      </c>
      <c r="S207" s="119">
        <v>0</v>
      </c>
      <c r="T207" s="116" t="s">
        <v>1171</v>
      </c>
      <c r="U207" s="116" t="s">
        <v>1712</v>
      </c>
      <c r="V207" s="116" t="s">
        <v>377</v>
      </c>
      <c r="W207" s="116">
        <v>20171231</v>
      </c>
      <c r="X207" s="116">
        <v>20181230</v>
      </c>
      <c r="Y207" s="116"/>
      <c r="Z207" s="116" t="s">
        <v>922</v>
      </c>
      <c r="AA207" s="116" t="s">
        <v>105</v>
      </c>
      <c r="AB207" s="116" t="s">
        <v>923</v>
      </c>
      <c r="AC207" s="116" t="s">
        <v>131</v>
      </c>
      <c r="AD207" s="116">
        <v>2016</v>
      </c>
      <c r="AE207" s="116" t="s">
        <v>96</v>
      </c>
      <c r="AF207" s="116" t="s">
        <v>954</v>
      </c>
      <c r="AG207" s="116" t="s">
        <v>1190</v>
      </c>
      <c r="AH207" s="116" t="s">
        <v>1191</v>
      </c>
      <c r="AI207" s="116" t="s">
        <v>119</v>
      </c>
      <c r="AJ207" s="116" t="s">
        <v>1192</v>
      </c>
      <c r="AK207" s="116" t="s">
        <v>141</v>
      </c>
      <c r="AL207" s="116" t="s">
        <v>129</v>
      </c>
      <c r="AM207" s="116" t="s">
        <v>566</v>
      </c>
      <c r="AN207" s="116"/>
      <c r="AO207" s="120">
        <v>43378</v>
      </c>
      <c r="AP207" s="116" t="s">
        <v>111</v>
      </c>
      <c r="AQ207" s="116">
        <v>33</v>
      </c>
      <c r="AR207" s="123"/>
      <c r="AS207" s="122">
        <v>43374</v>
      </c>
      <c r="AT207" s="123"/>
      <c r="AU207" s="116"/>
      <c r="AV207" s="124"/>
      <c r="AW207" s="123"/>
      <c r="AX207" s="116" t="s">
        <v>1191</v>
      </c>
    </row>
    <row r="208" spans="1:50" ht="15" hidden="1">
      <c r="A208" s="116" t="s">
        <v>1711</v>
      </c>
      <c r="B208" s="116" t="s">
        <v>90</v>
      </c>
      <c r="C208" s="116" t="s">
        <v>91</v>
      </c>
      <c r="D208" s="117">
        <v>0</v>
      </c>
      <c r="E208" s="118">
        <v>3170.01</v>
      </c>
      <c r="F208" s="118">
        <v>0</v>
      </c>
      <c r="G208" s="118">
        <v>0</v>
      </c>
      <c r="H208" s="118">
        <v>4365.41</v>
      </c>
      <c r="I208" s="118">
        <v>1057.31</v>
      </c>
      <c r="J208" s="118">
        <v>0</v>
      </c>
      <c r="K208" s="118">
        <v>0</v>
      </c>
      <c r="L208" s="118">
        <v>0</v>
      </c>
      <c r="M208" s="118">
        <v>0</v>
      </c>
      <c r="N208" s="118">
        <v>5422.72</v>
      </c>
      <c r="O208" s="119">
        <v>0</v>
      </c>
      <c r="P208" s="119">
        <v>0</v>
      </c>
      <c r="Q208" s="119">
        <v>0</v>
      </c>
      <c r="R208" s="119">
        <v>4365.41</v>
      </c>
      <c r="S208" s="119">
        <v>0</v>
      </c>
      <c r="T208" s="116" t="s">
        <v>1716</v>
      </c>
      <c r="U208" s="116" t="s">
        <v>1712</v>
      </c>
      <c r="V208" s="116" t="s">
        <v>377</v>
      </c>
      <c r="W208" s="116">
        <v>20171231</v>
      </c>
      <c r="X208" s="116">
        <v>20181230</v>
      </c>
      <c r="Y208" s="116"/>
      <c r="Z208" s="116" t="s">
        <v>922</v>
      </c>
      <c r="AA208" s="116" t="s">
        <v>105</v>
      </c>
      <c r="AB208" s="116" t="s">
        <v>923</v>
      </c>
      <c r="AC208" s="116" t="s">
        <v>131</v>
      </c>
      <c r="AD208" s="116">
        <v>2017</v>
      </c>
      <c r="AE208" s="116" t="s">
        <v>96</v>
      </c>
      <c r="AF208" s="116" t="s">
        <v>954</v>
      </c>
      <c r="AG208" s="116" t="s">
        <v>1461</v>
      </c>
      <c r="AH208" s="116" t="s">
        <v>1462</v>
      </c>
      <c r="AI208" s="116" t="s">
        <v>119</v>
      </c>
      <c r="AJ208" s="116" t="s">
        <v>1463</v>
      </c>
      <c r="AK208" s="116" t="s">
        <v>141</v>
      </c>
      <c r="AL208" s="116" t="s">
        <v>129</v>
      </c>
      <c r="AM208" s="116" t="s">
        <v>747</v>
      </c>
      <c r="AN208" s="116"/>
      <c r="AO208" s="120">
        <v>43378</v>
      </c>
      <c r="AP208" s="116" t="s">
        <v>111</v>
      </c>
      <c r="AQ208" s="116">
        <v>33</v>
      </c>
      <c r="AR208" s="125"/>
      <c r="AS208" s="122">
        <v>43374</v>
      </c>
      <c r="AT208" s="123"/>
      <c r="AU208" s="116"/>
      <c r="AV208" s="124"/>
      <c r="AW208" s="123"/>
      <c r="AX208" s="116" t="s">
        <v>1462</v>
      </c>
    </row>
    <row r="209" spans="1:50" ht="15" hidden="1">
      <c r="A209" s="116" t="s">
        <v>1720</v>
      </c>
      <c r="B209" s="116" t="s">
        <v>90</v>
      </c>
      <c r="C209" s="116" t="s">
        <v>91</v>
      </c>
      <c r="D209" s="117">
        <v>0</v>
      </c>
      <c r="E209" s="118">
        <v>1543.02</v>
      </c>
      <c r="F209" s="118">
        <v>0</v>
      </c>
      <c r="G209" s="118">
        <v>0</v>
      </c>
      <c r="H209" s="118">
        <v>7596.96</v>
      </c>
      <c r="I209" s="118">
        <v>64.66</v>
      </c>
      <c r="J209" s="118">
        <v>0</v>
      </c>
      <c r="K209" s="118">
        <v>-7165.9</v>
      </c>
      <c r="L209" s="118">
        <v>0</v>
      </c>
      <c r="M209" s="118">
        <v>0</v>
      </c>
      <c r="N209" s="118">
        <v>495.72</v>
      </c>
      <c r="O209" s="119">
        <v>7596.96</v>
      </c>
      <c r="P209" s="119">
        <v>0</v>
      </c>
      <c r="Q209" s="119">
        <v>0</v>
      </c>
      <c r="R209" s="119">
        <v>0</v>
      </c>
      <c r="S209" s="119">
        <v>0</v>
      </c>
      <c r="T209" s="116" t="s">
        <v>1293</v>
      </c>
      <c r="U209" s="116" t="s">
        <v>92</v>
      </c>
      <c r="V209" s="116" t="s">
        <v>379</v>
      </c>
      <c r="W209" s="116">
        <v>20171231</v>
      </c>
      <c r="X209" s="116">
        <v>20181230</v>
      </c>
      <c r="Y209" s="116"/>
      <c r="Z209" s="116" t="s">
        <v>922</v>
      </c>
      <c r="AA209" s="116" t="s">
        <v>105</v>
      </c>
      <c r="AB209" s="116" t="s">
        <v>923</v>
      </c>
      <c r="AC209" s="116" t="s">
        <v>106</v>
      </c>
      <c r="AD209" s="116">
        <v>2017</v>
      </c>
      <c r="AE209" s="116" t="s">
        <v>96</v>
      </c>
      <c r="AF209" s="116" t="s">
        <v>954</v>
      </c>
      <c r="AG209" s="116" t="s">
        <v>1571</v>
      </c>
      <c r="AH209" s="116" t="s">
        <v>1572</v>
      </c>
      <c r="AI209" s="116" t="s">
        <v>119</v>
      </c>
      <c r="AJ209" s="116" t="s">
        <v>1573</v>
      </c>
      <c r="AK209" s="116" t="s">
        <v>109</v>
      </c>
      <c r="AL209" s="116" t="s">
        <v>129</v>
      </c>
      <c r="AM209" s="116" t="s">
        <v>390</v>
      </c>
      <c r="AN209" s="116"/>
      <c r="AO209" s="120">
        <v>43378</v>
      </c>
      <c r="AP209" s="116" t="s">
        <v>111</v>
      </c>
      <c r="AQ209" s="116">
        <v>33</v>
      </c>
      <c r="AR209" s="125"/>
      <c r="AS209" s="122">
        <v>43374</v>
      </c>
      <c r="AT209" s="123"/>
      <c r="AU209" s="116"/>
      <c r="AV209" s="124"/>
      <c r="AW209" s="123"/>
      <c r="AX209" s="116" t="s">
        <v>1572</v>
      </c>
    </row>
    <row r="210" spans="1:50" ht="15" hidden="1">
      <c r="A210" s="116" t="s">
        <v>1725</v>
      </c>
      <c r="B210" s="116" t="s">
        <v>90</v>
      </c>
      <c r="C210" s="116" t="s">
        <v>91</v>
      </c>
      <c r="D210" s="117">
        <v>0</v>
      </c>
      <c r="E210" s="118">
        <v>1023.09</v>
      </c>
      <c r="F210" s="118">
        <v>0</v>
      </c>
      <c r="G210" s="118">
        <v>0</v>
      </c>
      <c r="H210" s="118">
        <v>4444.78</v>
      </c>
      <c r="I210" s="118">
        <v>1085.22</v>
      </c>
      <c r="J210" s="118">
        <v>0</v>
      </c>
      <c r="K210" s="118">
        <v>-930</v>
      </c>
      <c r="L210" s="118">
        <v>0</v>
      </c>
      <c r="M210" s="118">
        <v>3720</v>
      </c>
      <c r="N210" s="118">
        <v>8320</v>
      </c>
      <c r="O210" s="119">
        <v>4444.78</v>
      </c>
      <c r="P210" s="119">
        <v>0</v>
      </c>
      <c r="Q210" s="119">
        <v>0</v>
      </c>
      <c r="R210" s="119">
        <v>0</v>
      </c>
      <c r="S210" s="119">
        <v>0</v>
      </c>
      <c r="T210" s="116" t="s">
        <v>1726</v>
      </c>
      <c r="U210" s="116" t="s">
        <v>92</v>
      </c>
      <c r="V210" s="116" t="s">
        <v>380</v>
      </c>
      <c r="W210" s="116">
        <v>20171231</v>
      </c>
      <c r="X210" s="116">
        <v>20181230</v>
      </c>
      <c r="Y210" s="116"/>
      <c r="Z210" s="116" t="s">
        <v>922</v>
      </c>
      <c r="AA210" s="116" t="s">
        <v>105</v>
      </c>
      <c r="AB210" s="116" t="s">
        <v>1713</v>
      </c>
      <c r="AC210" s="116" t="s">
        <v>106</v>
      </c>
      <c r="AD210" s="116">
        <v>2014</v>
      </c>
      <c r="AE210" s="116" t="s">
        <v>374</v>
      </c>
      <c r="AF210" s="116" t="s">
        <v>1697</v>
      </c>
      <c r="AG210" s="116" t="s">
        <v>1717</v>
      </c>
      <c r="AH210" s="116" t="s">
        <v>1718</v>
      </c>
      <c r="AI210" s="116" t="s">
        <v>119</v>
      </c>
      <c r="AJ210" s="116" t="s">
        <v>1719</v>
      </c>
      <c r="AK210" s="116" t="s">
        <v>109</v>
      </c>
      <c r="AL210" s="116" t="s">
        <v>129</v>
      </c>
      <c r="AM210" s="116" t="s">
        <v>830</v>
      </c>
      <c r="AN210" s="116"/>
      <c r="AO210" s="120">
        <v>43380</v>
      </c>
      <c r="AP210" s="116" t="s">
        <v>111</v>
      </c>
      <c r="AQ210" s="116">
        <v>33</v>
      </c>
      <c r="AR210" s="125"/>
      <c r="AS210" s="122">
        <v>43374</v>
      </c>
      <c r="AT210" s="123"/>
      <c r="AU210" s="116"/>
      <c r="AV210" s="124"/>
      <c r="AW210" s="123"/>
      <c r="AX210" s="116" t="s">
        <v>1718</v>
      </c>
    </row>
    <row r="211" spans="1:50" ht="15" hidden="1">
      <c r="A211" s="116" t="s">
        <v>1730</v>
      </c>
      <c r="B211" s="116" t="s">
        <v>90</v>
      </c>
      <c r="C211" s="116" t="s">
        <v>91</v>
      </c>
      <c r="D211" s="117">
        <v>0</v>
      </c>
      <c r="E211" s="118">
        <v>5130.5</v>
      </c>
      <c r="F211" s="118">
        <v>0</v>
      </c>
      <c r="G211" s="118">
        <v>0</v>
      </c>
      <c r="H211" s="118">
        <v>0</v>
      </c>
      <c r="I211" s="118">
        <v>924.79</v>
      </c>
      <c r="J211" s="118">
        <v>0</v>
      </c>
      <c r="K211" s="118">
        <v>0</v>
      </c>
      <c r="L211" s="118">
        <v>0</v>
      </c>
      <c r="M211" s="118">
        <v>2945.25</v>
      </c>
      <c r="N211" s="118">
        <v>3870.04</v>
      </c>
      <c r="O211" s="119">
        <v>0</v>
      </c>
      <c r="P211" s="119">
        <v>0</v>
      </c>
      <c r="Q211" s="119">
        <v>0</v>
      </c>
      <c r="R211" s="119">
        <v>0</v>
      </c>
      <c r="S211" s="119">
        <v>0</v>
      </c>
      <c r="T211" s="116" t="s">
        <v>1731</v>
      </c>
      <c r="U211" s="116" t="s">
        <v>1712</v>
      </c>
      <c r="V211" s="116" t="s">
        <v>382</v>
      </c>
      <c r="W211" s="116">
        <v>20171231</v>
      </c>
      <c r="X211" s="116">
        <v>20181230</v>
      </c>
      <c r="Y211" s="116"/>
      <c r="Z211" s="116" t="s">
        <v>922</v>
      </c>
      <c r="AA211" s="116" t="s">
        <v>105</v>
      </c>
      <c r="AB211" s="116" t="s">
        <v>923</v>
      </c>
      <c r="AC211" s="116" t="s">
        <v>106</v>
      </c>
      <c r="AD211" s="116">
        <v>2017</v>
      </c>
      <c r="AE211" s="116" t="s">
        <v>96</v>
      </c>
      <c r="AF211" s="116" t="s">
        <v>954</v>
      </c>
      <c r="AG211" s="116" t="s">
        <v>1548</v>
      </c>
      <c r="AH211" s="116"/>
      <c r="AI211" s="116" t="s">
        <v>108</v>
      </c>
      <c r="AJ211" s="116" t="s">
        <v>583</v>
      </c>
      <c r="AK211" s="116" t="s">
        <v>109</v>
      </c>
      <c r="AL211" s="116" t="s">
        <v>110</v>
      </c>
      <c r="AM211" s="116" t="s">
        <v>771</v>
      </c>
      <c r="AN211" s="116"/>
      <c r="AO211" s="120">
        <v>43381</v>
      </c>
      <c r="AP211" s="116" t="s">
        <v>111</v>
      </c>
      <c r="AQ211" s="116">
        <v>33</v>
      </c>
      <c r="AR211" s="125"/>
      <c r="AS211" s="122">
        <v>43374</v>
      </c>
      <c r="AT211" s="123"/>
      <c r="AU211" s="116"/>
      <c r="AV211" s="124"/>
      <c r="AW211" s="123"/>
      <c r="AX211" s="116"/>
    </row>
    <row r="212" spans="1:50" ht="15" hidden="1">
      <c r="A212" s="116" t="s">
        <v>1730</v>
      </c>
      <c r="B212" s="116" t="s">
        <v>90</v>
      </c>
      <c r="C212" s="116" t="s">
        <v>91</v>
      </c>
      <c r="D212" s="117">
        <v>0</v>
      </c>
      <c r="E212" s="118">
        <v>4965</v>
      </c>
      <c r="F212" s="118">
        <v>0</v>
      </c>
      <c r="G212" s="118">
        <v>0</v>
      </c>
      <c r="H212" s="118">
        <v>4255.76</v>
      </c>
      <c r="I212" s="118">
        <v>890.66</v>
      </c>
      <c r="J212" s="118">
        <v>0</v>
      </c>
      <c r="K212" s="118">
        <v>0</v>
      </c>
      <c r="L212" s="118">
        <v>0</v>
      </c>
      <c r="M212" s="118">
        <v>1682</v>
      </c>
      <c r="N212" s="118">
        <v>6828.42</v>
      </c>
      <c r="O212" s="119">
        <v>0</v>
      </c>
      <c r="P212" s="119">
        <v>0</v>
      </c>
      <c r="Q212" s="119">
        <v>0</v>
      </c>
      <c r="R212" s="119">
        <v>4255.76</v>
      </c>
      <c r="S212" s="119">
        <v>0</v>
      </c>
      <c r="T212" s="116" t="s">
        <v>1736</v>
      </c>
      <c r="U212" s="116" t="s">
        <v>1712</v>
      </c>
      <c r="V212" s="116" t="s">
        <v>382</v>
      </c>
      <c r="W212" s="116">
        <v>20171231</v>
      </c>
      <c r="X212" s="116">
        <v>20181230</v>
      </c>
      <c r="Y212" s="116"/>
      <c r="Z212" s="116" t="s">
        <v>922</v>
      </c>
      <c r="AA212" s="116" t="s">
        <v>105</v>
      </c>
      <c r="AB212" s="116" t="s">
        <v>923</v>
      </c>
      <c r="AC212" s="116" t="s">
        <v>106</v>
      </c>
      <c r="AD212" s="116">
        <v>2018</v>
      </c>
      <c r="AE212" s="116" t="s">
        <v>96</v>
      </c>
      <c r="AF212" s="116" t="s">
        <v>289</v>
      </c>
      <c r="AG212" s="116" t="s">
        <v>1852</v>
      </c>
      <c r="AH212" s="116" t="s">
        <v>1853</v>
      </c>
      <c r="AI212" s="116" t="s">
        <v>108</v>
      </c>
      <c r="AJ212" s="116" t="s">
        <v>1854</v>
      </c>
      <c r="AK212" s="116" t="s">
        <v>120</v>
      </c>
      <c r="AL212" s="116" t="s">
        <v>425</v>
      </c>
      <c r="AM212" s="116" t="s">
        <v>832</v>
      </c>
      <c r="AN212" s="116"/>
      <c r="AO212" s="120">
        <v>43381</v>
      </c>
      <c r="AP212" s="116" t="s">
        <v>111</v>
      </c>
      <c r="AQ212" s="116">
        <v>33</v>
      </c>
      <c r="AR212" s="125"/>
      <c r="AS212" s="122">
        <v>43374</v>
      </c>
      <c r="AT212" s="123"/>
      <c r="AU212" s="116"/>
      <c r="AV212" s="124"/>
      <c r="AW212" s="123"/>
      <c r="AX212" s="116" t="s">
        <v>1853</v>
      </c>
    </row>
    <row r="213" spans="1:50" ht="15" hidden="1">
      <c r="A213" s="116" t="s">
        <v>1740</v>
      </c>
      <c r="B213" s="116" t="s">
        <v>90</v>
      </c>
      <c r="C213" s="116" t="s">
        <v>91</v>
      </c>
      <c r="D213" s="117">
        <v>-30081.43</v>
      </c>
      <c r="E213" s="118">
        <v>-2561.88</v>
      </c>
      <c r="F213" s="118">
        <v>0</v>
      </c>
      <c r="G213" s="118">
        <v>0</v>
      </c>
      <c r="H213" s="118">
        <v>8639</v>
      </c>
      <c r="I213" s="118">
        <v>1295.8499999999999</v>
      </c>
      <c r="J213" s="118">
        <v>0</v>
      </c>
      <c r="K213" s="118">
        <v>0</v>
      </c>
      <c r="L213" s="118">
        <v>0</v>
      </c>
      <c r="M213" s="118">
        <v>0</v>
      </c>
      <c r="N213" s="118">
        <v>9934.85</v>
      </c>
      <c r="O213" s="119">
        <v>0</v>
      </c>
      <c r="P213" s="119">
        <v>0</v>
      </c>
      <c r="Q213" s="119">
        <v>0</v>
      </c>
      <c r="R213" s="119">
        <v>8639</v>
      </c>
      <c r="S213" s="119">
        <v>0</v>
      </c>
      <c r="T213" s="116" t="s">
        <v>1741</v>
      </c>
      <c r="U213" s="116" t="s">
        <v>1712</v>
      </c>
      <c r="V213" s="116" t="s">
        <v>384</v>
      </c>
      <c r="W213" s="116">
        <v>20171231</v>
      </c>
      <c r="X213" s="116">
        <v>20181230</v>
      </c>
      <c r="Y213" s="116"/>
      <c r="Z213" s="116" t="s">
        <v>922</v>
      </c>
      <c r="AA213" s="116" t="s">
        <v>105</v>
      </c>
      <c r="AB213" s="116" t="s">
        <v>923</v>
      </c>
      <c r="AC213" s="116" t="s">
        <v>106</v>
      </c>
      <c r="AD213" s="116">
        <v>2018</v>
      </c>
      <c r="AE213" s="116" t="s">
        <v>96</v>
      </c>
      <c r="AF213" s="116" t="s">
        <v>289</v>
      </c>
      <c r="AG213" s="116" t="s">
        <v>1831</v>
      </c>
      <c r="AH213" s="116" t="s">
        <v>1828</v>
      </c>
      <c r="AI213" s="116" t="s">
        <v>108</v>
      </c>
      <c r="AJ213" s="116" t="s">
        <v>1832</v>
      </c>
      <c r="AK213" s="116" t="s">
        <v>120</v>
      </c>
      <c r="AL213" s="116" t="s">
        <v>129</v>
      </c>
      <c r="AM213" s="116" t="s">
        <v>859</v>
      </c>
      <c r="AN213" s="116"/>
      <c r="AO213" s="120">
        <v>43384</v>
      </c>
      <c r="AP213" s="116" t="s">
        <v>111</v>
      </c>
      <c r="AQ213" s="116">
        <v>33</v>
      </c>
      <c r="AR213" s="125"/>
      <c r="AS213" s="122">
        <v>43374</v>
      </c>
      <c r="AT213" s="123"/>
      <c r="AU213" s="116"/>
      <c r="AV213" s="124"/>
      <c r="AW213" s="123"/>
      <c r="AX213" s="116" t="s">
        <v>1828</v>
      </c>
    </row>
    <row r="214" spans="1:50" ht="15" hidden="1">
      <c r="A214" s="116" t="s">
        <v>1744</v>
      </c>
      <c r="B214" s="116" t="s">
        <v>90</v>
      </c>
      <c r="C214" s="116" t="s">
        <v>91</v>
      </c>
      <c r="D214" s="117">
        <v>0</v>
      </c>
      <c r="E214" s="118">
        <v>4957.82</v>
      </c>
      <c r="F214" s="118">
        <v>0</v>
      </c>
      <c r="G214" s="118">
        <v>0</v>
      </c>
      <c r="H214" s="118">
        <v>827</v>
      </c>
      <c r="I214" s="118">
        <v>124.05</v>
      </c>
      <c r="J214" s="118">
        <v>0</v>
      </c>
      <c r="K214" s="118">
        <v>0</v>
      </c>
      <c r="L214" s="118">
        <v>0</v>
      </c>
      <c r="M214" s="118">
        <v>0</v>
      </c>
      <c r="N214" s="118">
        <v>951.05</v>
      </c>
      <c r="O214" s="119">
        <v>0</v>
      </c>
      <c r="P214" s="119">
        <v>0</v>
      </c>
      <c r="Q214" s="119">
        <v>0</v>
      </c>
      <c r="R214" s="119">
        <v>827</v>
      </c>
      <c r="S214" s="119">
        <v>0</v>
      </c>
      <c r="T214" s="116" t="s">
        <v>1745</v>
      </c>
      <c r="U214" s="116" t="s">
        <v>1712</v>
      </c>
      <c r="V214" s="116" t="s">
        <v>385</v>
      </c>
      <c r="W214" s="116">
        <v>20171231</v>
      </c>
      <c r="X214" s="116">
        <v>20181230</v>
      </c>
      <c r="Y214" s="116"/>
      <c r="Z214" s="116" t="s">
        <v>922</v>
      </c>
      <c r="AA214" s="116" t="s">
        <v>105</v>
      </c>
      <c r="AB214" s="116" t="s">
        <v>923</v>
      </c>
      <c r="AC214" s="116" t="s">
        <v>106</v>
      </c>
      <c r="AD214" s="116">
        <v>2018</v>
      </c>
      <c r="AE214" s="116" t="s">
        <v>96</v>
      </c>
      <c r="AF214" s="116" t="s">
        <v>289</v>
      </c>
      <c r="AG214" s="116" t="s">
        <v>1941</v>
      </c>
      <c r="AH214" s="116" t="s">
        <v>1939</v>
      </c>
      <c r="AI214" s="116" t="s">
        <v>108</v>
      </c>
      <c r="AJ214" s="116" t="s">
        <v>1942</v>
      </c>
      <c r="AK214" s="116" t="s">
        <v>141</v>
      </c>
      <c r="AL214" s="116" t="s">
        <v>129</v>
      </c>
      <c r="AM214" s="116" t="s">
        <v>898</v>
      </c>
      <c r="AN214" s="116"/>
      <c r="AO214" s="120">
        <v>43384</v>
      </c>
      <c r="AP214" s="116" t="s">
        <v>111</v>
      </c>
      <c r="AQ214" s="116">
        <v>33</v>
      </c>
      <c r="AR214" s="125"/>
      <c r="AS214" s="122">
        <v>43374</v>
      </c>
      <c r="AT214" s="123"/>
      <c r="AU214" s="116"/>
      <c r="AV214" s="124"/>
      <c r="AW214" s="123"/>
      <c r="AX214" s="116" t="s">
        <v>1939</v>
      </c>
    </row>
    <row r="215" spans="1:50" ht="15" hidden="1">
      <c r="A215" s="116" t="s">
        <v>1744</v>
      </c>
      <c r="B215" s="116" t="s">
        <v>90</v>
      </c>
      <c r="C215" s="116" t="s">
        <v>91</v>
      </c>
      <c r="D215" s="117">
        <v>0</v>
      </c>
      <c r="E215" s="118">
        <v>0</v>
      </c>
      <c r="F215" s="118">
        <v>0</v>
      </c>
      <c r="G215" s="118">
        <v>0</v>
      </c>
      <c r="H215" s="118">
        <v>1500</v>
      </c>
      <c r="I215" s="118">
        <v>225</v>
      </c>
      <c r="J215" s="118">
        <v>0</v>
      </c>
      <c r="K215" s="118">
        <v>0</v>
      </c>
      <c r="L215" s="118">
        <v>0</v>
      </c>
      <c r="M215" s="118">
        <v>0</v>
      </c>
      <c r="N215" s="118">
        <v>1725</v>
      </c>
      <c r="O215" s="119">
        <v>0</v>
      </c>
      <c r="P215" s="119">
        <v>0</v>
      </c>
      <c r="Q215" s="119">
        <v>0</v>
      </c>
      <c r="R215" s="119">
        <v>1500</v>
      </c>
      <c r="S215" s="119">
        <v>0</v>
      </c>
      <c r="T215" s="116" t="s">
        <v>1124</v>
      </c>
      <c r="U215" s="116" t="s">
        <v>1712</v>
      </c>
      <c r="V215" s="116" t="s">
        <v>385</v>
      </c>
      <c r="W215" s="116">
        <v>20171231</v>
      </c>
      <c r="X215" s="116">
        <v>20181230</v>
      </c>
      <c r="Y215" s="116"/>
      <c r="Z215" s="116" t="s">
        <v>922</v>
      </c>
      <c r="AA215" s="116" t="s">
        <v>105</v>
      </c>
      <c r="AB215" s="116" t="s">
        <v>923</v>
      </c>
      <c r="AC215" s="116" t="s">
        <v>106</v>
      </c>
      <c r="AD215" s="116">
        <v>2018</v>
      </c>
      <c r="AE215" s="116" t="s">
        <v>96</v>
      </c>
      <c r="AF215" s="116" t="s">
        <v>289</v>
      </c>
      <c r="AG215" s="116" t="s">
        <v>1964</v>
      </c>
      <c r="AH215" s="116" t="s">
        <v>1965</v>
      </c>
      <c r="AI215" s="116" t="s">
        <v>162</v>
      </c>
      <c r="AJ215" s="116" t="s">
        <v>1966</v>
      </c>
      <c r="AK215" s="116" t="s">
        <v>109</v>
      </c>
      <c r="AL215" s="116" t="s">
        <v>129</v>
      </c>
      <c r="AM215" s="116" t="s">
        <v>443</v>
      </c>
      <c r="AN215" s="116"/>
      <c r="AO215" s="120">
        <v>43384</v>
      </c>
      <c r="AP215" s="116" t="s">
        <v>111</v>
      </c>
      <c r="AQ215" s="116">
        <v>33</v>
      </c>
      <c r="AR215" s="123"/>
      <c r="AS215" s="122">
        <v>43374</v>
      </c>
      <c r="AT215" s="123"/>
      <c r="AU215" s="116"/>
      <c r="AV215" s="124"/>
      <c r="AW215" s="123"/>
      <c r="AX215" s="116" t="s">
        <v>1965</v>
      </c>
    </row>
    <row r="216" spans="1:50" ht="15" hidden="1">
      <c r="A216" s="116" t="s">
        <v>1751</v>
      </c>
      <c r="B216" s="116" t="s">
        <v>90</v>
      </c>
      <c r="C216" s="116" t="s">
        <v>91</v>
      </c>
      <c r="D216" s="117">
        <v>0</v>
      </c>
      <c r="E216" s="118">
        <v>1089.53</v>
      </c>
      <c r="F216" s="118">
        <v>0</v>
      </c>
      <c r="G216" s="118">
        <v>0</v>
      </c>
      <c r="H216" s="118">
        <v>18359.72</v>
      </c>
      <c r="I216" s="118">
        <v>2753.96</v>
      </c>
      <c r="J216" s="118">
        <v>0</v>
      </c>
      <c r="K216" s="118">
        <v>0</v>
      </c>
      <c r="L216" s="118">
        <v>0</v>
      </c>
      <c r="M216" s="118">
        <v>0</v>
      </c>
      <c r="N216" s="118">
        <v>21113.68</v>
      </c>
      <c r="O216" s="119">
        <v>18359.72</v>
      </c>
      <c r="P216" s="119">
        <v>0</v>
      </c>
      <c r="Q216" s="119">
        <v>0</v>
      </c>
      <c r="R216" s="119">
        <v>0</v>
      </c>
      <c r="S216" s="119">
        <v>0</v>
      </c>
      <c r="T216" s="116" t="s">
        <v>1248</v>
      </c>
      <c r="U216" s="116" t="s">
        <v>92</v>
      </c>
      <c r="V216" s="116" t="s">
        <v>386</v>
      </c>
      <c r="W216" s="116">
        <v>20171231</v>
      </c>
      <c r="X216" s="116">
        <v>20181230</v>
      </c>
      <c r="Y216" s="116"/>
      <c r="Z216" s="116" t="s">
        <v>922</v>
      </c>
      <c r="AA216" s="116" t="s">
        <v>105</v>
      </c>
      <c r="AB216" s="116" t="s">
        <v>923</v>
      </c>
      <c r="AC216" s="116" t="s">
        <v>122</v>
      </c>
      <c r="AD216" s="116">
        <v>2016</v>
      </c>
      <c r="AE216" s="116" t="s">
        <v>96</v>
      </c>
      <c r="AF216" s="116" t="s">
        <v>954</v>
      </c>
      <c r="AG216" s="116" t="s">
        <v>993</v>
      </c>
      <c r="AH216" s="116" t="s">
        <v>994</v>
      </c>
      <c r="AI216" s="116" t="s">
        <v>119</v>
      </c>
      <c r="AJ216" s="116" t="s">
        <v>995</v>
      </c>
      <c r="AK216" s="116" t="s">
        <v>314</v>
      </c>
      <c r="AL216" s="116" t="s">
        <v>129</v>
      </c>
      <c r="AM216" s="116" t="s">
        <v>498</v>
      </c>
      <c r="AN216" s="116"/>
      <c r="AO216" s="120">
        <v>43385</v>
      </c>
      <c r="AP216" s="116" t="s">
        <v>111</v>
      </c>
      <c r="AQ216" s="116">
        <v>33</v>
      </c>
      <c r="AR216" s="125"/>
      <c r="AS216" s="122">
        <v>43374</v>
      </c>
      <c r="AT216" s="123"/>
      <c r="AU216" s="116"/>
      <c r="AV216" s="124"/>
      <c r="AW216" s="123"/>
      <c r="AX216" s="116" t="s">
        <v>994</v>
      </c>
    </row>
    <row r="217" spans="1:50" ht="15" hidden="1">
      <c r="A217" s="116" t="s">
        <v>1754</v>
      </c>
      <c r="B217" s="116" t="s">
        <v>90</v>
      </c>
      <c r="C217" s="116" t="s">
        <v>91</v>
      </c>
      <c r="D217" s="117">
        <v>0</v>
      </c>
      <c r="E217" s="118">
        <v>7747.76</v>
      </c>
      <c r="F217" s="118">
        <v>0</v>
      </c>
      <c r="G217" s="118">
        <v>0</v>
      </c>
      <c r="H217" s="118">
        <v>3404.34</v>
      </c>
      <c r="I217" s="118">
        <v>510.65</v>
      </c>
      <c r="J217" s="118">
        <v>0</v>
      </c>
      <c r="K217" s="118">
        <v>0</v>
      </c>
      <c r="L217" s="118">
        <v>0</v>
      </c>
      <c r="M217" s="118">
        <v>0</v>
      </c>
      <c r="N217" s="118">
        <v>3914.99</v>
      </c>
      <c r="O217" s="119">
        <v>0</v>
      </c>
      <c r="P217" s="119">
        <v>0</v>
      </c>
      <c r="Q217" s="119">
        <v>0</v>
      </c>
      <c r="R217" s="119">
        <v>3404.34</v>
      </c>
      <c r="S217" s="119">
        <v>0</v>
      </c>
      <c r="T217" s="116" t="s">
        <v>1755</v>
      </c>
      <c r="U217" s="116" t="s">
        <v>92</v>
      </c>
      <c r="V217" s="116" t="s">
        <v>1756</v>
      </c>
      <c r="W217" s="116">
        <v>20171231</v>
      </c>
      <c r="X217" s="116">
        <v>20181230</v>
      </c>
      <c r="Y217" s="116"/>
      <c r="Z217" s="116" t="s">
        <v>922</v>
      </c>
      <c r="AA217" s="116" t="s">
        <v>105</v>
      </c>
      <c r="AB217" s="116" t="s">
        <v>923</v>
      </c>
      <c r="AC217" s="116" t="s">
        <v>106</v>
      </c>
      <c r="AD217" s="116">
        <v>2017</v>
      </c>
      <c r="AE217" s="116" t="s">
        <v>96</v>
      </c>
      <c r="AF217" s="116" t="s">
        <v>954</v>
      </c>
      <c r="AG217" s="116" t="s">
        <v>1283</v>
      </c>
      <c r="AH217" s="116" t="s">
        <v>1284</v>
      </c>
      <c r="AI217" s="116" t="s">
        <v>108</v>
      </c>
      <c r="AJ217" s="116" t="s">
        <v>1285</v>
      </c>
      <c r="AK217" s="116" t="s">
        <v>109</v>
      </c>
      <c r="AL217" s="116" t="s">
        <v>129</v>
      </c>
      <c r="AM217" s="116" t="s">
        <v>678</v>
      </c>
      <c r="AN217" s="116"/>
      <c r="AO217" s="120">
        <v>43385</v>
      </c>
      <c r="AP217" s="116" t="s">
        <v>111</v>
      </c>
      <c r="AQ217" s="116">
        <v>33</v>
      </c>
      <c r="AR217" s="125"/>
      <c r="AS217" s="122">
        <v>43374</v>
      </c>
      <c r="AT217" s="123"/>
      <c r="AU217" s="116"/>
      <c r="AV217" s="124"/>
      <c r="AW217" s="123"/>
      <c r="AX217" s="116" t="s">
        <v>1284</v>
      </c>
    </row>
    <row r="218" spans="1:50" ht="15" hidden="1">
      <c r="A218" s="116" t="s">
        <v>1754</v>
      </c>
      <c r="B218" s="116" t="s">
        <v>90</v>
      </c>
      <c r="C218" s="116" t="s">
        <v>91</v>
      </c>
      <c r="D218" s="117">
        <v>0</v>
      </c>
      <c r="E218" s="118">
        <v>11371.71</v>
      </c>
      <c r="F218" s="118">
        <v>0</v>
      </c>
      <c r="G218" s="118">
        <v>0</v>
      </c>
      <c r="H218" s="118">
        <v>0</v>
      </c>
      <c r="I218" s="118">
        <v>23483</v>
      </c>
      <c r="J218" s="118">
        <v>0</v>
      </c>
      <c r="K218" s="118">
        <v>0</v>
      </c>
      <c r="L218" s="118">
        <v>0</v>
      </c>
      <c r="M218" s="118">
        <v>0</v>
      </c>
      <c r="N218" s="118">
        <v>23483</v>
      </c>
      <c r="O218" s="119">
        <v>0</v>
      </c>
      <c r="P218" s="119">
        <v>0</v>
      </c>
      <c r="Q218" s="119">
        <v>0</v>
      </c>
      <c r="R218" s="119">
        <v>0</v>
      </c>
      <c r="S218" s="119">
        <v>0</v>
      </c>
      <c r="T218" s="116" t="s">
        <v>959</v>
      </c>
      <c r="U218" s="116" t="s">
        <v>92</v>
      </c>
      <c r="V218" s="116" t="s">
        <v>1756</v>
      </c>
      <c r="W218" s="116">
        <v>20171231</v>
      </c>
      <c r="X218" s="116">
        <v>20181230</v>
      </c>
      <c r="Y218" s="116"/>
      <c r="Z218" s="116" t="s">
        <v>922</v>
      </c>
      <c r="AA218" s="116" t="s">
        <v>105</v>
      </c>
      <c r="AB218" s="116" t="s">
        <v>923</v>
      </c>
      <c r="AC218" s="116" t="s">
        <v>106</v>
      </c>
      <c r="AD218" s="116">
        <v>2017</v>
      </c>
      <c r="AE218" s="116" t="s">
        <v>96</v>
      </c>
      <c r="AF218" s="116" t="s">
        <v>954</v>
      </c>
      <c r="AG218" s="116" t="s">
        <v>1436</v>
      </c>
      <c r="AH218" s="116" t="s">
        <v>1437</v>
      </c>
      <c r="AI218" s="116" t="s">
        <v>119</v>
      </c>
      <c r="AJ218" s="116" t="s">
        <v>1438</v>
      </c>
      <c r="AK218" s="116" t="s">
        <v>120</v>
      </c>
      <c r="AL218" s="116" t="s">
        <v>129</v>
      </c>
      <c r="AM218" s="116" t="s">
        <v>739</v>
      </c>
      <c r="AN218" s="116"/>
      <c r="AO218" s="120">
        <v>43387</v>
      </c>
      <c r="AP218" s="116" t="s">
        <v>111</v>
      </c>
      <c r="AQ218" s="116">
        <v>33</v>
      </c>
      <c r="AR218" s="125"/>
      <c r="AS218" s="122">
        <v>43374</v>
      </c>
      <c r="AT218" s="123"/>
      <c r="AU218" s="116"/>
      <c r="AV218" s="124"/>
      <c r="AW218" s="123"/>
      <c r="AX218" s="116" t="s">
        <v>1437</v>
      </c>
    </row>
    <row r="219" spans="1:50" ht="15" hidden="1">
      <c r="A219" s="116" t="s">
        <v>1762</v>
      </c>
      <c r="B219" s="116" t="s">
        <v>90</v>
      </c>
      <c r="C219" s="116" t="s">
        <v>91</v>
      </c>
      <c r="D219" s="117">
        <v>0</v>
      </c>
      <c r="E219" s="118">
        <v>19119.48</v>
      </c>
      <c r="F219" s="118">
        <v>0</v>
      </c>
      <c r="G219" s="118">
        <v>0</v>
      </c>
      <c r="H219" s="118">
        <v>3250</v>
      </c>
      <c r="I219" s="118">
        <v>-1788.45</v>
      </c>
      <c r="J219" s="118">
        <v>0</v>
      </c>
      <c r="K219" s="118">
        <v>-18908</v>
      </c>
      <c r="L219" s="118">
        <v>0</v>
      </c>
      <c r="M219" s="118">
        <v>3735</v>
      </c>
      <c r="N219" s="118">
        <v>-13711.45</v>
      </c>
      <c r="O219" s="119">
        <v>0</v>
      </c>
      <c r="P219" s="119">
        <v>3250</v>
      </c>
      <c r="Q219" s="119">
        <v>0</v>
      </c>
      <c r="R219" s="119">
        <v>0</v>
      </c>
      <c r="S219" s="119">
        <v>0</v>
      </c>
      <c r="T219" s="116" t="s">
        <v>1763</v>
      </c>
      <c r="U219" s="116" t="s">
        <v>92</v>
      </c>
      <c r="V219" s="116" t="s">
        <v>1764</v>
      </c>
      <c r="W219" s="116">
        <v>20171231</v>
      </c>
      <c r="X219" s="116">
        <v>20181230</v>
      </c>
      <c r="Y219" s="116"/>
      <c r="Z219" s="116" t="s">
        <v>922</v>
      </c>
      <c r="AA219" s="116" t="s">
        <v>105</v>
      </c>
      <c r="AB219" s="116" t="s">
        <v>923</v>
      </c>
      <c r="AC219" s="116" t="s">
        <v>106</v>
      </c>
      <c r="AD219" s="116">
        <v>2018</v>
      </c>
      <c r="AE219" s="116" t="s">
        <v>96</v>
      </c>
      <c r="AF219" s="116" t="s">
        <v>289</v>
      </c>
      <c r="AG219" s="116" t="s">
        <v>1984</v>
      </c>
      <c r="AH219" s="116"/>
      <c r="AI219" s="116" t="s">
        <v>108</v>
      </c>
      <c r="AJ219" s="116" t="s">
        <v>1985</v>
      </c>
      <c r="AK219" s="116" t="s">
        <v>296</v>
      </c>
      <c r="AL219" s="116" t="s">
        <v>110</v>
      </c>
      <c r="AM219" s="116" t="s">
        <v>910</v>
      </c>
      <c r="AN219" s="116"/>
      <c r="AO219" s="120">
        <v>43388</v>
      </c>
      <c r="AP219" s="116" t="s">
        <v>111</v>
      </c>
      <c r="AQ219" s="116">
        <v>33</v>
      </c>
      <c r="AR219" s="123"/>
      <c r="AS219" s="122">
        <v>43374</v>
      </c>
      <c r="AT219" s="123"/>
      <c r="AU219" s="116"/>
      <c r="AV219" s="124"/>
      <c r="AW219" s="123"/>
      <c r="AX219" s="116"/>
    </row>
    <row r="220" spans="1:50" ht="15" hidden="1">
      <c r="A220" s="116" t="s">
        <v>1762</v>
      </c>
      <c r="B220" s="116" t="s">
        <v>90</v>
      </c>
      <c r="C220" s="116" t="s">
        <v>91</v>
      </c>
      <c r="D220" s="117">
        <v>0</v>
      </c>
      <c r="E220" s="118">
        <v>3748.92</v>
      </c>
      <c r="F220" s="118">
        <v>0</v>
      </c>
      <c r="G220" s="118">
        <v>0</v>
      </c>
      <c r="H220" s="118">
        <v>2543.1</v>
      </c>
      <c r="I220" s="118">
        <v>14861.81</v>
      </c>
      <c r="J220" s="118">
        <v>0</v>
      </c>
      <c r="K220" s="118">
        <v>0</v>
      </c>
      <c r="L220" s="118">
        <v>0</v>
      </c>
      <c r="M220" s="118">
        <v>64687.13</v>
      </c>
      <c r="N220" s="118">
        <v>82092.039999999994</v>
      </c>
      <c r="O220" s="119">
        <v>0</v>
      </c>
      <c r="P220" s="119">
        <v>2543.1</v>
      </c>
      <c r="Q220" s="119">
        <v>0</v>
      </c>
      <c r="R220" s="119">
        <v>0</v>
      </c>
      <c r="S220" s="119">
        <v>0</v>
      </c>
      <c r="T220" s="116" t="s">
        <v>1768</v>
      </c>
      <c r="U220" s="116" t="s">
        <v>92</v>
      </c>
      <c r="V220" s="116" t="s">
        <v>1764</v>
      </c>
      <c r="W220" s="116">
        <v>20171231</v>
      </c>
      <c r="X220" s="116">
        <v>20181230</v>
      </c>
      <c r="Y220" s="116"/>
      <c r="Z220" s="116" t="s">
        <v>922</v>
      </c>
      <c r="AA220" s="116" t="s">
        <v>105</v>
      </c>
      <c r="AB220" s="116" t="s">
        <v>923</v>
      </c>
      <c r="AC220" s="116" t="s">
        <v>142</v>
      </c>
      <c r="AD220" s="116">
        <v>2016</v>
      </c>
      <c r="AE220" s="116" t="s">
        <v>96</v>
      </c>
      <c r="AF220" s="116" t="s">
        <v>954</v>
      </c>
      <c r="AG220" s="116" t="s">
        <v>1074</v>
      </c>
      <c r="AH220" s="116" t="s">
        <v>338</v>
      </c>
      <c r="AI220" s="116" t="s">
        <v>119</v>
      </c>
      <c r="AJ220" s="116" t="s">
        <v>1075</v>
      </c>
      <c r="AK220" s="116" t="s">
        <v>277</v>
      </c>
      <c r="AL220" s="116" t="s">
        <v>129</v>
      </c>
      <c r="AM220" s="116" t="s">
        <v>601</v>
      </c>
      <c r="AN220" s="116"/>
      <c r="AO220" s="120">
        <v>43389</v>
      </c>
      <c r="AP220" s="116" t="s">
        <v>111</v>
      </c>
      <c r="AQ220" s="116">
        <v>33</v>
      </c>
      <c r="AR220" s="125"/>
      <c r="AS220" s="122">
        <v>43374</v>
      </c>
      <c r="AT220" s="123"/>
      <c r="AU220" s="116"/>
      <c r="AV220" s="124"/>
      <c r="AW220" s="123"/>
      <c r="AX220" s="116" t="s">
        <v>338</v>
      </c>
    </row>
    <row r="221" spans="1:50" ht="15" hidden="1">
      <c r="A221" s="116" t="s">
        <v>1771</v>
      </c>
      <c r="B221" s="116" t="s">
        <v>90</v>
      </c>
      <c r="C221" s="116" t="s">
        <v>91</v>
      </c>
      <c r="D221" s="117">
        <v>0</v>
      </c>
      <c r="E221" s="118">
        <v>11371.71</v>
      </c>
      <c r="F221" s="118">
        <v>0</v>
      </c>
      <c r="G221" s="118">
        <v>0</v>
      </c>
      <c r="H221" s="118">
        <v>0</v>
      </c>
      <c r="I221" s="118">
        <v>5305.13</v>
      </c>
      <c r="J221" s="118">
        <v>0</v>
      </c>
      <c r="K221" s="118">
        <v>0</v>
      </c>
      <c r="L221" s="118">
        <v>0</v>
      </c>
      <c r="M221" s="118">
        <v>12367.53</v>
      </c>
      <c r="N221" s="118">
        <v>17672.66</v>
      </c>
      <c r="O221" s="119">
        <v>0</v>
      </c>
      <c r="P221" s="119">
        <v>0</v>
      </c>
      <c r="Q221" s="119">
        <v>0</v>
      </c>
      <c r="R221" s="119">
        <v>0</v>
      </c>
      <c r="S221" s="119">
        <v>0</v>
      </c>
      <c r="T221" s="116" t="s">
        <v>1772</v>
      </c>
      <c r="U221" s="116" t="s">
        <v>92</v>
      </c>
      <c r="V221" s="116" t="s">
        <v>1773</v>
      </c>
      <c r="W221" s="116">
        <v>20171231</v>
      </c>
      <c r="X221" s="116">
        <v>20181230</v>
      </c>
      <c r="Y221" s="116"/>
      <c r="Z221" s="116" t="s">
        <v>922</v>
      </c>
      <c r="AA221" s="116" t="s">
        <v>105</v>
      </c>
      <c r="AB221" s="116" t="s">
        <v>923</v>
      </c>
      <c r="AC221" s="116" t="s">
        <v>135</v>
      </c>
      <c r="AD221" s="116">
        <v>2017</v>
      </c>
      <c r="AE221" s="116" t="s">
        <v>96</v>
      </c>
      <c r="AF221" s="116" t="s">
        <v>954</v>
      </c>
      <c r="AG221" s="116" t="s">
        <v>1635</v>
      </c>
      <c r="AH221" s="116" t="s">
        <v>1636</v>
      </c>
      <c r="AI221" s="116" t="s">
        <v>162</v>
      </c>
      <c r="AJ221" s="116" t="s">
        <v>1637</v>
      </c>
      <c r="AK221" s="116" t="s">
        <v>324</v>
      </c>
      <c r="AL221" s="116" t="s">
        <v>129</v>
      </c>
      <c r="AM221" s="116" t="s">
        <v>800</v>
      </c>
      <c r="AN221" s="116"/>
      <c r="AO221" s="120">
        <v>43389</v>
      </c>
      <c r="AP221" s="116" t="s">
        <v>111</v>
      </c>
      <c r="AQ221" s="116">
        <v>33</v>
      </c>
      <c r="AR221" s="125"/>
      <c r="AS221" s="122">
        <v>43374</v>
      </c>
      <c r="AT221" s="123"/>
      <c r="AU221" s="116"/>
      <c r="AV221" s="124"/>
      <c r="AW221" s="123"/>
      <c r="AX221" s="116" t="s">
        <v>1636</v>
      </c>
    </row>
    <row r="222" spans="1:50" ht="15" hidden="1">
      <c r="A222" s="116" t="s">
        <v>1777</v>
      </c>
      <c r="B222" s="116" t="s">
        <v>90</v>
      </c>
      <c r="C222" s="116" t="s">
        <v>91</v>
      </c>
      <c r="D222" s="117">
        <v>0</v>
      </c>
      <c r="E222" s="118">
        <v>7622.8</v>
      </c>
      <c r="F222" s="118">
        <v>0</v>
      </c>
      <c r="G222" s="118">
        <v>0</v>
      </c>
      <c r="H222" s="118">
        <v>28620.09</v>
      </c>
      <c r="I222" s="118">
        <v>4293.01</v>
      </c>
      <c r="J222" s="118">
        <v>0</v>
      </c>
      <c r="K222" s="118">
        <v>0</v>
      </c>
      <c r="L222" s="118">
        <v>0</v>
      </c>
      <c r="M222" s="118">
        <v>0</v>
      </c>
      <c r="N222" s="118">
        <v>32913.1</v>
      </c>
      <c r="O222" s="119">
        <v>0</v>
      </c>
      <c r="P222" s="119">
        <v>12962.09</v>
      </c>
      <c r="Q222" s="119">
        <v>0</v>
      </c>
      <c r="R222" s="119">
        <v>15658</v>
      </c>
      <c r="S222" s="119">
        <v>0</v>
      </c>
      <c r="T222" s="116" t="s">
        <v>1524</v>
      </c>
      <c r="U222" s="116" t="s">
        <v>92</v>
      </c>
      <c r="V222" s="116" t="s">
        <v>1778</v>
      </c>
      <c r="W222" s="116">
        <v>20171231</v>
      </c>
      <c r="X222" s="116">
        <v>20181230</v>
      </c>
      <c r="Y222" s="116"/>
      <c r="Z222" s="116" t="s">
        <v>922</v>
      </c>
      <c r="AA222" s="116" t="s">
        <v>105</v>
      </c>
      <c r="AB222" s="116" t="s">
        <v>923</v>
      </c>
      <c r="AC222" s="116" t="s">
        <v>137</v>
      </c>
      <c r="AD222" s="116">
        <v>2016</v>
      </c>
      <c r="AE222" s="116" t="s">
        <v>96</v>
      </c>
      <c r="AF222" s="116" t="s">
        <v>954</v>
      </c>
      <c r="AG222" s="116" t="s">
        <v>1139</v>
      </c>
      <c r="AH222" s="116" t="s">
        <v>1140</v>
      </c>
      <c r="AI222" s="116" t="s">
        <v>108</v>
      </c>
      <c r="AJ222" s="116" t="s">
        <v>1141</v>
      </c>
      <c r="AK222" s="116" t="s">
        <v>468</v>
      </c>
      <c r="AL222" s="116" t="s">
        <v>129</v>
      </c>
      <c r="AM222" s="116" t="s">
        <v>623</v>
      </c>
      <c r="AN222" s="116"/>
      <c r="AO222" s="120">
        <v>43391</v>
      </c>
      <c r="AP222" s="116" t="s">
        <v>111</v>
      </c>
      <c r="AQ222" s="116">
        <v>33</v>
      </c>
      <c r="AR222" s="125"/>
      <c r="AS222" s="122">
        <v>43374</v>
      </c>
      <c r="AT222" s="123"/>
      <c r="AU222" s="116"/>
      <c r="AV222" s="124"/>
      <c r="AW222" s="123"/>
      <c r="AX222" s="116" t="s">
        <v>1140</v>
      </c>
    </row>
    <row r="223" spans="1:50" ht="15" hidden="1">
      <c r="A223" s="116" t="s">
        <v>1777</v>
      </c>
      <c r="B223" s="116" t="s">
        <v>90</v>
      </c>
      <c r="C223" s="116" t="s">
        <v>91</v>
      </c>
      <c r="D223" s="117">
        <v>0</v>
      </c>
      <c r="E223" s="118">
        <v>19244.439999999999</v>
      </c>
      <c r="F223" s="118">
        <v>0</v>
      </c>
      <c r="G223" s="118">
        <v>0</v>
      </c>
      <c r="H223" s="118">
        <v>4206.6400000000003</v>
      </c>
      <c r="I223" s="118">
        <v>16778.14</v>
      </c>
      <c r="J223" s="118">
        <v>0</v>
      </c>
      <c r="K223" s="118">
        <v>0</v>
      </c>
      <c r="L223" s="118">
        <v>0</v>
      </c>
      <c r="M223" s="118">
        <v>14988.31</v>
      </c>
      <c r="N223" s="118">
        <v>35973.089999999997</v>
      </c>
      <c r="O223" s="119">
        <v>0</v>
      </c>
      <c r="P223" s="119">
        <v>1800.64</v>
      </c>
      <c r="Q223" s="119">
        <v>0</v>
      </c>
      <c r="R223" s="119">
        <v>2406</v>
      </c>
      <c r="S223" s="119">
        <v>0</v>
      </c>
      <c r="T223" s="116" t="s">
        <v>1782</v>
      </c>
      <c r="U223" s="116" t="s">
        <v>92</v>
      </c>
      <c r="V223" s="116" t="s">
        <v>1778</v>
      </c>
      <c r="W223" s="116">
        <v>20171231</v>
      </c>
      <c r="X223" s="116">
        <v>20181230</v>
      </c>
      <c r="Y223" s="116"/>
      <c r="Z223" s="116" t="s">
        <v>922</v>
      </c>
      <c r="AA223" s="116" t="s">
        <v>105</v>
      </c>
      <c r="AB223" s="116" t="s">
        <v>923</v>
      </c>
      <c r="AC223" s="116" t="s">
        <v>114</v>
      </c>
      <c r="AD223" s="116">
        <v>2017</v>
      </c>
      <c r="AE223" s="116" t="s">
        <v>96</v>
      </c>
      <c r="AF223" s="116" t="s">
        <v>954</v>
      </c>
      <c r="AG223" s="116" t="s">
        <v>1337</v>
      </c>
      <c r="AH223" s="116" t="s">
        <v>209</v>
      </c>
      <c r="AI223" s="116" t="s">
        <v>162</v>
      </c>
      <c r="AJ223" s="116" t="s">
        <v>1338</v>
      </c>
      <c r="AK223" s="116" t="s">
        <v>210</v>
      </c>
      <c r="AL223" s="116" t="s">
        <v>129</v>
      </c>
      <c r="AM223" s="116" t="s">
        <v>703</v>
      </c>
      <c r="AN223" s="116"/>
      <c r="AO223" s="120">
        <v>43391</v>
      </c>
      <c r="AP223" s="116" t="s">
        <v>111</v>
      </c>
      <c r="AQ223" s="116">
        <v>33</v>
      </c>
      <c r="AR223" s="125"/>
      <c r="AS223" s="122">
        <v>43374</v>
      </c>
      <c r="AT223" s="123"/>
      <c r="AU223" s="116"/>
      <c r="AV223" s="124"/>
      <c r="AW223" s="123"/>
      <c r="AX223" s="116" t="s">
        <v>209</v>
      </c>
    </row>
    <row r="224" spans="1:50" ht="15" hidden="1">
      <c r="A224" s="116" t="s">
        <v>1785</v>
      </c>
      <c r="B224" s="116" t="s">
        <v>90</v>
      </c>
      <c r="C224" s="116" t="s">
        <v>91</v>
      </c>
      <c r="D224" s="117">
        <v>0</v>
      </c>
      <c r="E224" s="118">
        <v>7497.83</v>
      </c>
      <c r="F224" s="118">
        <v>0</v>
      </c>
      <c r="G224" s="118">
        <v>0</v>
      </c>
      <c r="H224" s="118">
        <v>1500</v>
      </c>
      <c r="I224" s="118">
        <v>836.4</v>
      </c>
      <c r="J224" s="118">
        <v>0</v>
      </c>
      <c r="K224" s="118">
        <v>0</v>
      </c>
      <c r="L224" s="118">
        <v>0</v>
      </c>
      <c r="M224" s="118">
        <v>1500</v>
      </c>
      <c r="N224" s="118">
        <v>3836.4</v>
      </c>
      <c r="O224" s="119">
        <v>0</v>
      </c>
      <c r="P224" s="119">
        <v>1500</v>
      </c>
      <c r="Q224" s="119">
        <v>0</v>
      </c>
      <c r="R224" s="119">
        <v>0</v>
      </c>
      <c r="S224" s="119">
        <v>0</v>
      </c>
      <c r="T224" s="116" t="s">
        <v>1500</v>
      </c>
      <c r="U224" s="116" t="s">
        <v>92</v>
      </c>
      <c r="V224" s="116" t="s">
        <v>1786</v>
      </c>
      <c r="W224" s="116">
        <v>20171231</v>
      </c>
      <c r="X224" s="116">
        <v>20181230</v>
      </c>
      <c r="Y224" s="116"/>
      <c r="Z224" s="116" t="s">
        <v>922</v>
      </c>
      <c r="AA224" s="116" t="s">
        <v>105</v>
      </c>
      <c r="AB224" s="116" t="s">
        <v>923</v>
      </c>
      <c r="AC224" s="116" t="s">
        <v>106</v>
      </c>
      <c r="AD224" s="116">
        <v>2018</v>
      </c>
      <c r="AE224" s="116" t="s">
        <v>96</v>
      </c>
      <c r="AF224" s="116" t="s">
        <v>289</v>
      </c>
      <c r="AG224" s="116" t="s">
        <v>1883</v>
      </c>
      <c r="AH224" s="116" t="s">
        <v>1884</v>
      </c>
      <c r="AI224" s="116" t="s">
        <v>162</v>
      </c>
      <c r="AJ224" s="116" t="s">
        <v>1885</v>
      </c>
      <c r="AK224" s="116" t="s">
        <v>141</v>
      </c>
      <c r="AL224" s="116" t="s">
        <v>129</v>
      </c>
      <c r="AM224" s="116" t="s">
        <v>482</v>
      </c>
      <c r="AN224" s="116"/>
      <c r="AO224" s="120">
        <v>43392</v>
      </c>
      <c r="AP224" s="116" t="s">
        <v>111</v>
      </c>
      <c r="AQ224" s="116">
        <v>33</v>
      </c>
      <c r="AR224" s="123"/>
      <c r="AS224" s="122">
        <v>43374</v>
      </c>
      <c r="AT224" s="123"/>
      <c r="AU224" s="116"/>
      <c r="AV224" s="124"/>
      <c r="AW224" s="123"/>
      <c r="AX224" s="116" t="s">
        <v>1884</v>
      </c>
    </row>
    <row r="225" spans="1:50" ht="15" hidden="1">
      <c r="A225" s="116" t="s">
        <v>1788</v>
      </c>
      <c r="B225" s="116" t="s">
        <v>90</v>
      </c>
      <c r="C225" s="116" t="s">
        <v>91</v>
      </c>
      <c r="D225" s="117">
        <v>0</v>
      </c>
      <c r="E225" s="118">
        <v>19119.48</v>
      </c>
      <c r="F225" s="118">
        <v>0</v>
      </c>
      <c r="G225" s="118">
        <v>0</v>
      </c>
      <c r="H225" s="118">
        <v>28619.040000000001</v>
      </c>
      <c r="I225" s="118">
        <v>4346.54</v>
      </c>
      <c r="J225" s="118">
        <v>0</v>
      </c>
      <c r="K225" s="118">
        <v>0</v>
      </c>
      <c r="L225" s="118">
        <v>0</v>
      </c>
      <c r="M225" s="118">
        <v>357.91</v>
      </c>
      <c r="N225" s="118">
        <v>33323.49</v>
      </c>
      <c r="O225" s="119">
        <v>0</v>
      </c>
      <c r="P225" s="119">
        <v>4521.55</v>
      </c>
      <c r="Q225" s="119">
        <v>0</v>
      </c>
      <c r="R225" s="119">
        <v>24097.49</v>
      </c>
      <c r="S225" s="119">
        <v>0</v>
      </c>
      <c r="T225" s="116" t="s">
        <v>1496</v>
      </c>
      <c r="U225" s="116" t="s">
        <v>92</v>
      </c>
      <c r="V225" s="116" t="s">
        <v>1789</v>
      </c>
      <c r="W225" s="116">
        <v>20171231</v>
      </c>
      <c r="X225" s="116">
        <v>20181230</v>
      </c>
      <c r="Y225" s="116"/>
      <c r="Z225" s="116" t="s">
        <v>922</v>
      </c>
      <c r="AA225" s="116" t="s">
        <v>105</v>
      </c>
      <c r="AB225" s="116" t="s">
        <v>923</v>
      </c>
      <c r="AC225" s="116" t="s">
        <v>106</v>
      </c>
      <c r="AD225" s="116">
        <v>2016</v>
      </c>
      <c r="AE225" s="116" t="s">
        <v>96</v>
      </c>
      <c r="AF225" s="116" t="s">
        <v>954</v>
      </c>
      <c r="AG225" s="116" t="s">
        <v>1135</v>
      </c>
      <c r="AH225" s="116" t="s">
        <v>388</v>
      </c>
      <c r="AI225" s="116" t="s">
        <v>108</v>
      </c>
      <c r="AJ225" s="116" t="s">
        <v>1136</v>
      </c>
      <c r="AK225" s="116" t="s">
        <v>120</v>
      </c>
      <c r="AL225" s="116" t="s">
        <v>425</v>
      </c>
      <c r="AM225" s="116" t="s">
        <v>622</v>
      </c>
      <c r="AN225" s="116"/>
      <c r="AO225" s="120">
        <v>43394</v>
      </c>
      <c r="AP225" s="116" t="s">
        <v>111</v>
      </c>
      <c r="AQ225" s="116">
        <v>33</v>
      </c>
      <c r="AR225" s="125"/>
      <c r="AS225" s="122">
        <v>43374</v>
      </c>
      <c r="AT225" s="123"/>
      <c r="AU225" s="116"/>
      <c r="AV225" s="124"/>
      <c r="AW225" s="123"/>
      <c r="AX225" s="116" t="s">
        <v>388</v>
      </c>
    </row>
    <row r="226" spans="1:50" ht="15" hidden="1">
      <c r="A226" s="116" t="s">
        <v>1792</v>
      </c>
      <c r="B226" s="116" t="s">
        <v>90</v>
      </c>
      <c r="C226" s="116" t="s">
        <v>91</v>
      </c>
      <c r="D226" s="117">
        <v>0</v>
      </c>
      <c r="E226" s="118">
        <v>1178.8699999999999</v>
      </c>
      <c r="F226" s="118">
        <v>0</v>
      </c>
      <c r="G226" s="118">
        <v>0</v>
      </c>
      <c r="H226" s="118">
        <v>24934.1</v>
      </c>
      <c r="I226" s="118">
        <v>4706.12</v>
      </c>
      <c r="J226" s="118">
        <v>0</v>
      </c>
      <c r="K226" s="118">
        <v>0</v>
      </c>
      <c r="L226" s="118">
        <v>0</v>
      </c>
      <c r="M226" s="118">
        <v>0</v>
      </c>
      <c r="N226" s="118">
        <v>29640.22</v>
      </c>
      <c r="O226" s="119">
        <v>24934.1</v>
      </c>
      <c r="P226" s="119">
        <v>0</v>
      </c>
      <c r="Q226" s="119">
        <v>0</v>
      </c>
      <c r="R226" s="119">
        <v>0</v>
      </c>
      <c r="S226" s="119">
        <v>0</v>
      </c>
      <c r="T226" s="116" t="s">
        <v>1793</v>
      </c>
      <c r="U226" s="116" t="s">
        <v>92</v>
      </c>
      <c r="V226" s="116" t="s">
        <v>287</v>
      </c>
      <c r="W226" s="116">
        <v>20180111</v>
      </c>
      <c r="X226" s="116">
        <v>20181230</v>
      </c>
      <c r="Y226" s="116"/>
      <c r="Z226" s="116" t="s">
        <v>922</v>
      </c>
      <c r="AA226" s="116" t="s">
        <v>105</v>
      </c>
      <c r="AB226" s="116" t="s">
        <v>923</v>
      </c>
      <c r="AC226" s="116" t="s">
        <v>114</v>
      </c>
      <c r="AD226" s="116">
        <v>2016</v>
      </c>
      <c r="AE226" s="116" t="s">
        <v>96</v>
      </c>
      <c r="AF226" s="116" t="s">
        <v>954</v>
      </c>
      <c r="AG226" s="116" t="s">
        <v>1087</v>
      </c>
      <c r="AH226" s="116" t="s">
        <v>1088</v>
      </c>
      <c r="AI226" s="116" t="s">
        <v>119</v>
      </c>
      <c r="AJ226" s="116" t="s">
        <v>1089</v>
      </c>
      <c r="AK226" s="116" t="s">
        <v>210</v>
      </c>
      <c r="AL226" s="116" t="s">
        <v>129</v>
      </c>
      <c r="AM226" s="116" t="s">
        <v>604</v>
      </c>
      <c r="AN226" s="116"/>
      <c r="AO226" s="120">
        <v>43395</v>
      </c>
      <c r="AP226" s="116" t="s">
        <v>111</v>
      </c>
      <c r="AQ226" s="116">
        <v>33</v>
      </c>
      <c r="AR226" s="125"/>
      <c r="AS226" s="122">
        <v>43374</v>
      </c>
      <c r="AT226" s="123"/>
      <c r="AU226" s="116"/>
      <c r="AV226" s="124"/>
      <c r="AW226" s="123"/>
      <c r="AX226" s="116" t="s">
        <v>1088</v>
      </c>
    </row>
    <row r="227" spans="1:50" ht="15" hidden="1">
      <c r="A227" s="116" t="s">
        <v>1797</v>
      </c>
      <c r="B227" s="116" t="s">
        <v>90</v>
      </c>
      <c r="C227" s="116" t="s">
        <v>91</v>
      </c>
      <c r="D227" s="117">
        <v>0</v>
      </c>
      <c r="E227" s="118">
        <v>926.21</v>
      </c>
      <c r="F227" s="118">
        <v>0</v>
      </c>
      <c r="G227" s="118">
        <v>0</v>
      </c>
      <c r="H227" s="118">
        <v>0</v>
      </c>
      <c r="I227" s="118">
        <v>-1338.45</v>
      </c>
      <c r="J227" s="118">
        <v>0</v>
      </c>
      <c r="K227" s="118">
        <v>-15658</v>
      </c>
      <c r="L227" s="118">
        <v>0</v>
      </c>
      <c r="M227" s="118">
        <v>6735</v>
      </c>
      <c r="N227" s="118">
        <v>-10261.450000000001</v>
      </c>
      <c r="O227" s="119">
        <v>0</v>
      </c>
      <c r="P227" s="119">
        <v>0</v>
      </c>
      <c r="Q227" s="119">
        <v>0</v>
      </c>
      <c r="R227" s="119">
        <v>0</v>
      </c>
      <c r="S227" s="119">
        <v>0</v>
      </c>
      <c r="T227" s="116" t="s">
        <v>1798</v>
      </c>
      <c r="U227" s="116" t="s">
        <v>92</v>
      </c>
      <c r="V227" s="116" t="s">
        <v>288</v>
      </c>
      <c r="W227" s="116">
        <v>20180226</v>
      </c>
      <c r="X227" s="116">
        <v>20181230</v>
      </c>
      <c r="Y227" s="116"/>
      <c r="Z227" s="116" t="s">
        <v>922</v>
      </c>
      <c r="AA227" s="116" t="s">
        <v>105</v>
      </c>
      <c r="AB227" s="116" t="s">
        <v>923</v>
      </c>
      <c r="AC227" s="116" t="s">
        <v>106</v>
      </c>
      <c r="AD227" s="116">
        <v>2018</v>
      </c>
      <c r="AE227" s="116" t="s">
        <v>96</v>
      </c>
      <c r="AF227" s="116" t="s">
        <v>289</v>
      </c>
      <c r="AG227" s="116" t="s">
        <v>1951</v>
      </c>
      <c r="AH227" s="116" t="s">
        <v>1948</v>
      </c>
      <c r="AI227" s="116" t="s">
        <v>108</v>
      </c>
      <c r="AJ227" s="116" t="s">
        <v>1952</v>
      </c>
      <c r="AK227" s="116" t="s">
        <v>468</v>
      </c>
      <c r="AL227" s="116" t="s">
        <v>129</v>
      </c>
      <c r="AM227" s="116" t="s">
        <v>901</v>
      </c>
      <c r="AN227" s="116"/>
      <c r="AO227" s="120">
        <v>43396</v>
      </c>
      <c r="AP227" s="116" t="s">
        <v>111</v>
      </c>
      <c r="AQ227" s="116">
        <v>33</v>
      </c>
      <c r="AR227" s="125"/>
      <c r="AS227" s="122">
        <v>43374</v>
      </c>
      <c r="AT227" s="123"/>
      <c r="AU227" s="116"/>
      <c r="AV227" s="124"/>
      <c r="AW227" s="123"/>
      <c r="AX227" s="116" t="s">
        <v>1948</v>
      </c>
    </row>
    <row r="228" spans="1:50" ht="15" hidden="1">
      <c r="A228" s="116" t="s">
        <v>1801</v>
      </c>
      <c r="B228" s="116" t="s">
        <v>90</v>
      </c>
      <c r="C228" s="116" t="s">
        <v>91</v>
      </c>
      <c r="D228" s="117">
        <v>-5431.58</v>
      </c>
      <c r="E228" s="118">
        <v>53.95</v>
      </c>
      <c r="F228" s="118">
        <v>0</v>
      </c>
      <c r="G228" s="118">
        <v>0</v>
      </c>
      <c r="H228" s="118">
        <v>2897.94</v>
      </c>
      <c r="I228" s="118">
        <v>0</v>
      </c>
      <c r="J228" s="118">
        <v>0</v>
      </c>
      <c r="K228" s="118">
        <v>-2897.94</v>
      </c>
      <c r="L228" s="118">
        <v>0</v>
      </c>
      <c r="M228" s="118">
        <v>0</v>
      </c>
      <c r="N228" s="118">
        <v>0</v>
      </c>
      <c r="O228" s="119">
        <v>2897.94</v>
      </c>
      <c r="P228" s="119">
        <v>0</v>
      </c>
      <c r="Q228" s="119">
        <v>0</v>
      </c>
      <c r="R228" s="119">
        <v>0</v>
      </c>
      <c r="S228" s="119">
        <v>0</v>
      </c>
      <c r="T228" s="116" t="s">
        <v>1198</v>
      </c>
      <c r="U228" s="116" t="s">
        <v>92</v>
      </c>
      <c r="V228" s="116" t="s">
        <v>299</v>
      </c>
      <c r="W228" s="116">
        <v>20180303</v>
      </c>
      <c r="X228" s="116">
        <v>20181230</v>
      </c>
      <c r="Y228" s="116"/>
      <c r="Z228" s="116" t="s">
        <v>922</v>
      </c>
      <c r="AA228" s="116" t="s">
        <v>105</v>
      </c>
      <c r="AB228" s="116" t="s">
        <v>923</v>
      </c>
      <c r="AC228" s="116" t="s">
        <v>106</v>
      </c>
      <c r="AD228" s="116">
        <v>2017</v>
      </c>
      <c r="AE228" s="116" t="s">
        <v>96</v>
      </c>
      <c r="AF228" s="116" t="s">
        <v>954</v>
      </c>
      <c r="AG228" s="116" t="s">
        <v>1516</v>
      </c>
      <c r="AH228" s="116" t="s">
        <v>1517</v>
      </c>
      <c r="AI228" s="116" t="s">
        <v>119</v>
      </c>
      <c r="AJ228" s="116" t="s">
        <v>1518</v>
      </c>
      <c r="AK228" s="116" t="s">
        <v>109</v>
      </c>
      <c r="AL228" s="116" t="s">
        <v>129</v>
      </c>
      <c r="AM228" s="116" t="s">
        <v>759</v>
      </c>
      <c r="AN228" s="116"/>
      <c r="AO228" s="120">
        <v>43397</v>
      </c>
      <c r="AP228" s="116" t="s">
        <v>111</v>
      </c>
      <c r="AQ228" s="116">
        <v>33</v>
      </c>
      <c r="AR228" s="125"/>
      <c r="AS228" s="122">
        <v>43374</v>
      </c>
      <c r="AT228" s="123"/>
      <c r="AU228" s="116"/>
      <c r="AV228" s="124"/>
      <c r="AW228" s="123"/>
      <c r="AX228" s="116" t="s">
        <v>1517</v>
      </c>
    </row>
    <row r="229" spans="1:50" ht="15" hidden="1">
      <c r="A229" s="116" t="s">
        <v>1804</v>
      </c>
      <c r="B229" s="116" t="s">
        <v>90</v>
      </c>
      <c r="C229" s="116" t="s">
        <v>91</v>
      </c>
      <c r="D229" s="117">
        <v>0</v>
      </c>
      <c r="E229" s="118">
        <v>616.5</v>
      </c>
      <c r="F229" s="118">
        <v>0</v>
      </c>
      <c r="G229" s="118">
        <v>0</v>
      </c>
      <c r="H229" s="118">
        <v>1500</v>
      </c>
      <c r="I229" s="118">
        <v>3019.35</v>
      </c>
      <c r="J229" s="118">
        <v>0</v>
      </c>
      <c r="K229" s="118">
        <v>0</v>
      </c>
      <c r="L229" s="118">
        <v>0</v>
      </c>
      <c r="M229" s="118">
        <v>18629</v>
      </c>
      <c r="N229" s="118">
        <v>23148.35</v>
      </c>
      <c r="O229" s="119">
        <v>0</v>
      </c>
      <c r="P229" s="119">
        <v>0</v>
      </c>
      <c r="Q229" s="119">
        <v>0</v>
      </c>
      <c r="R229" s="119">
        <v>1500</v>
      </c>
      <c r="S229" s="119">
        <v>0</v>
      </c>
      <c r="T229" s="116" t="s">
        <v>1515</v>
      </c>
      <c r="U229" s="116" t="s">
        <v>92</v>
      </c>
      <c r="V229" s="116" t="s">
        <v>300</v>
      </c>
      <c r="W229" s="116">
        <v>20180303</v>
      </c>
      <c r="X229" s="116">
        <v>20181230</v>
      </c>
      <c r="Y229" s="116"/>
      <c r="Z229" s="116" t="s">
        <v>922</v>
      </c>
      <c r="AA229" s="116" t="s">
        <v>105</v>
      </c>
      <c r="AB229" s="116" t="s">
        <v>1696</v>
      </c>
      <c r="AC229" s="116" t="s">
        <v>106</v>
      </c>
      <c r="AD229" s="116">
        <v>2013</v>
      </c>
      <c r="AE229" s="116" t="s">
        <v>374</v>
      </c>
      <c r="AF229" s="116" t="s">
        <v>1697</v>
      </c>
      <c r="AG229" s="116" t="s">
        <v>1700</v>
      </c>
      <c r="AH229" s="116" t="s">
        <v>1701</v>
      </c>
      <c r="AI229" s="116" t="s">
        <v>162</v>
      </c>
      <c r="AJ229" s="116" t="s">
        <v>1702</v>
      </c>
      <c r="AK229" s="116" t="s">
        <v>109</v>
      </c>
      <c r="AL229" s="116" t="s">
        <v>129</v>
      </c>
      <c r="AM229" s="116" t="s">
        <v>389</v>
      </c>
      <c r="AN229" s="116"/>
      <c r="AO229" s="120">
        <v>43397</v>
      </c>
      <c r="AP229" s="116" t="s">
        <v>111</v>
      </c>
      <c r="AQ229" s="116">
        <v>33</v>
      </c>
      <c r="AR229" s="125"/>
      <c r="AS229" s="122">
        <v>43374</v>
      </c>
      <c r="AT229" s="123"/>
      <c r="AU229" s="116"/>
      <c r="AV229" s="124"/>
      <c r="AW229" s="123"/>
      <c r="AX229" s="116" t="s">
        <v>1701</v>
      </c>
    </row>
    <row r="230" spans="1:50" ht="15" hidden="1">
      <c r="A230" s="116" t="s">
        <v>1808</v>
      </c>
      <c r="B230" s="116" t="s">
        <v>90</v>
      </c>
      <c r="C230" s="116" t="s">
        <v>91</v>
      </c>
      <c r="D230" s="117">
        <v>0</v>
      </c>
      <c r="E230" s="118">
        <v>1097.0999999999999</v>
      </c>
      <c r="F230" s="118">
        <v>0</v>
      </c>
      <c r="G230" s="118">
        <v>0</v>
      </c>
      <c r="H230" s="118">
        <v>5754.54</v>
      </c>
      <c r="I230" s="118">
        <v>-1485.52</v>
      </c>
      <c r="J230" s="118">
        <v>0</v>
      </c>
      <c r="K230" s="118">
        <v>-15658</v>
      </c>
      <c r="L230" s="118">
        <v>0</v>
      </c>
      <c r="M230" s="118">
        <v>0</v>
      </c>
      <c r="N230" s="118">
        <v>-11388.98</v>
      </c>
      <c r="O230" s="119">
        <v>5754.54</v>
      </c>
      <c r="P230" s="119">
        <v>0</v>
      </c>
      <c r="Q230" s="119">
        <v>0</v>
      </c>
      <c r="R230" s="119">
        <v>0</v>
      </c>
      <c r="S230" s="119">
        <v>0</v>
      </c>
      <c r="T230" s="116" t="s">
        <v>1395</v>
      </c>
      <c r="U230" s="116" t="s">
        <v>92</v>
      </c>
      <c r="V230" s="116" t="s">
        <v>309</v>
      </c>
      <c r="W230" s="116">
        <v>20180303</v>
      </c>
      <c r="X230" s="116">
        <v>20181230</v>
      </c>
      <c r="Y230" s="116"/>
      <c r="Z230" s="116" t="s">
        <v>922</v>
      </c>
      <c r="AA230" s="116" t="s">
        <v>105</v>
      </c>
      <c r="AB230" s="116" t="s">
        <v>923</v>
      </c>
      <c r="AC230" s="116" t="s">
        <v>137</v>
      </c>
      <c r="AD230" s="116">
        <v>2018</v>
      </c>
      <c r="AE230" s="116" t="s">
        <v>96</v>
      </c>
      <c r="AF230" s="116" t="s">
        <v>289</v>
      </c>
      <c r="AG230" s="116" t="s">
        <v>1805</v>
      </c>
      <c r="AH230" s="116" t="s">
        <v>1806</v>
      </c>
      <c r="AI230" s="116" t="s">
        <v>108</v>
      </c>
      <c r="AJ230" s="116" t="s">
        <v>1807</v>
      </c>
      <c r="AK230" s="116" t="s">
        <v>468</v>
      </c>
      <c r="AL230" s="116" t="s">
        <v>129</v>
      </c>
      <c r="AM230" s="116" t="s">
        <v>857</v>
      </c>
      <c r="AN230" s="116"/>
      <c r="AO230" s="120">
        <v>43397</v>
      </c>
      <c r="AP230" s="116" t="s">
        <v>111</v>
      </c>
      <c r="AQ230" s="116">
        <v>33</v>
      </c>
      <c r="AR230" s="125"/>
      <c r="AS230" s="122">
        <v>43374</v>
      </c>
      <c r="AT230" s="123"/>
      <c r="AU230" s="116"/>
      <c r="AV230" s="124"/>
      <c r="AW230" s="123"/>
      <c r="AX230" s="116" t="s">
        <v>1806</v>
      </c>
    </row>
    <row r="231" spans="1:50" ht="15" hidden="1">
      <c r="A231" s="116" t="s">
        <v>1808</v>
      </c>
      <c r="B231" s="116" t="s">
        <v>90</v>
      </c>
      <c r="C231" s="116" t="s">
        <v>91</v>
      </c>
      <c r="D231" s="117">
        <v>0</v>
      </c>
      <c r="E231" s="118">
        <v>557.54</v>
      </c>
      <c r="F231" s="118">
        <v>0</v>
      </c>
      <c r="G231" s="118">
        <v>0</v>
      </c>
      <c r="H231" s="118">
        <v>0</v>
      </c>
      <c r="I231" s="118">
        <v>-2348.6999999999998</v>
      </c>
      <c r="J231" s="118">
        <v>0</v>
      </c>
      <c r="K231" s="118">
        <v>-15658</v>
      </c>
      <c r="L231" s="118">
        <v>0</v>
      </c>
      <c r="M231" s="118">
        <v>0</v>
      </c>
      <c r="N231" s="118">
        <v>-18006.7</v>
      </c>
      <c r="O231" s="119">
        <v>0</v>
      </c>
      <c r="P231" s="119">
        <v>0</v>
      </c>
      <c r="Q231" s="119">
        <v>0</v>
      </c>
      <c r="R231" s="119">
        <v>0</v>
      </c>
      <c r="S231" s="119">
        <v>0</v>
      </c>
      <c r="T231" s="116" t="s">
        <v>1811</v>
      </c>
      <c r="U231" s="116" t="s">
        <v>92</v>
      </c>
      <c r="V231" s="116" t="s">
        <v>309</v>
      </c>
      <c r="W231" s="116">
        <v>20180303</v>
      </c>
      <c r="X231" s="116">
        <v>20181230</v>
      </c>
      <c r="Y231" s="116"/>
      <c r="Z231" s="116" t="s">
        <v>922</v>
      </c>
      <c r="AA231" s="116" t="s">
        <v>105</v>
      </c>
      <c r="AB231" s="116" t="s">
        <v>923</v>
      </c>
      <c r="AC231" s="116" t="s">
        <v>106</v>
      </c>
      <c r="AD231" s="116">
        <v>2018</v>
      </c>
      <c r="AE231" s="116" t="s">
        <v>96</v>
      </c>
      <c r="AF231" s="116" t="s">
        <v>289</v>
      </c>
      <c r="AG231" s="116" t="s">
        <v>1998</v>
      </c>
      <c r="AH231" s="116" t="s">
        <v>1999</v>
      </c>
      <c r="AI231" s="116" t="s">
        <v>162</v>
      </c>
      <c r="AJ231" s="116" t="s">
        <v>2000</v>
      </c>
      <c r="AK231" s="116" t="s">
        <v>109</v>
      </c>
      <c r="AL231" s="116" t="s">
        <v>129</v>
      </c>
      <c r="AM231" s="116" t="s">
        <v>383</v>
      </c>
      <c r="AN231" s="116"/>
      <c r="AO231" s="120">
        <v>43397</v>
      </c>
      <c r="AP231" s="116" t="s">
        <v>111</v>
      </c>
      <c r="AQ231" s="116">
        <v>33</v>
      </c>
      <c r="AR231" s="123"/>
      <c r="AS231" s="122">
        <v>43374</v>
      </c>
      <c r="AT231" s="123"/>
      <c r="AU231" s="116"/>
      <c r="AV231" s="124"/>
      <c r="AW231" s="123"/>
      <c r="AX231" s="116" t="s">
        <v>1999</v>
      </c>
    </row>
    <row r="232" spans="1:50" ht="15" hidden="1">
      <c r="A232" s="116" t="s">
        <v>1815</v>
      </c>
      <c r="B232" s="116" t="s">
        <v>90</v>
      </c>
      <c r="C232" s="116" t="s">
        <v>91</v>
      </c>
      <c r="D232" s="117">
        <v>0</v>
      </c>
      <c r="E232" s="118">
        <v>771.04</v>
      </c>
      <c r="F232" s="118">
        <v>0</v>
      </c>
      <c r="G232" s="118">
        <v>0</v>
      </c>
      <c r="H232" s="118">
        <v>0</v>
      </c>
      <c r="I232" s="118">
        <v>-1788.45</v>
      </c>
      <c r="J232" s="118">
        <v>0</v>
      </c>
      <c r="K232" s="118">
        <v>-15658</v>
      </c>
      <c r="L232" s="118">
        <v>0</v>
      </c>
      <c r="M232" s="118">
        <v>3735</v>
      </c>
      <c r="N232" s="118">
        <v>-13711.45</v>
      </c>
      <c r="O232" s="119">
        <v>0</v>
      </c>
      <c r="P232" s="119">
        <v>0</v>
      </c>
      <c r="Q232" s="119">
        <v>0</v>
      </c>
      <c r="R232" s="119">
        <v>0</v>
      </c>
      <c r="S232" s="119">
        <v>0</v>
      </c>
      <c r="T232" s="116" t="s">
        <v>1816</v>
      </c>
      <c r="U232" s="116" t="s">
        <v>92</v>
      </c>
      <c r="V232" s="116" t="s">
        <v>312</v>
      </c>
      <c r="W232" s="116">
        <v>20180303</v>
      </c>
      <c r="X232" s="116">
        <v>20181230</v>
      </c>
      <c r="Y232" s="116"/>
      <c r="Z232" s="116" t="s">
        <v>922</v>
      </c>
      <c r="AA232" s="116" t="s">
        <v>105</v>
      </c>
      <c r="AB232" s="116" t="s">
        <v>1210</v>
      </c>
      <c r="AC232" s="116" t="s">
        <v>106</v>
      </c>
      <c r="AD232" s="116">
        <v>2018</v>
      </c>
      <c r="AE232" s="116" t="s">
        <v>96</v>
      </c>
      <c r="AF232" s="116" t="s">
        <v>1211</v>
      </c>
      <c r="AG232" s="116" t="s">
        <v>1769</v>
      </c>
      <c r="AH232" s="116" t="s">
        <v>1766</v>
      </c>
      <c r="AI232" s="116" t="s">
        <v>108</v>
      </c>
      <c r="AJ232" s="116" t="s">
        <v>1770</v>
      </c>
      <c r="AK232" s="116" t="s">
        <v>109</v>
      </c>
      <c r="AL232" s="116" t="s">
        <v>129</v>
      </c>
      <c r="AM232" s="116" t="s">
        <v>460</v>
      </c>
      <c r="AN232" s="116"/>
      <c r="AO232" s="120">
        <v>43399</v>
      </c>
      <c r="AP232" s="116" t="s">
        <v>111</v>
      </c>
      <c r="AQ232" s="116">
        <v>33</v>
      </c>
      <c r="AR232" s="125"/>
      <c r="AS232" s="122">
        <v>43374</v>
      </c>
      <c r="AT232" s="123"/>
      <c r="AU232" s="116"/>
      <c r="AV232" s="124"/>
      <c r="AW232" s="123"/>
      <c r="AX232" s="116" t="s">
        <v>1766</v>
      </c>
    </row>
    <row r="233" spans="1:50" ht="15" hidden="1">
      <c r="A233" s="116" t="s">
        <v>1818</v>
      </c>
      <c r="B233" s="116" t="s">
        <v>90</v>
      </c>
      <c r="C233" s="116" t="s">
        <v>91</v>
      </c>
      <c r="D233" s="117">
        <v>0</v>
      </c>
      <c r="E233" s="118">
        <v>4277.67</v>
      </c>
      <c r="F233" s="118">
        <v>4714.84</v>
      </c>
      <c r="G233" s="118">
        <v>4714.84</v>
      </c>
      <c r="H233" s="118">
        <v>147693.62</v>
      </c>
      <c r="I233" s="118">
        <v>22154.04</v>
      </c>
      <c r="J233" s="118">
        <v>0</v>
      </c>
      <c r="K233" s="118">
        <v>0</v>
      </c>
      <c r="L233" s="118">
        <v>0</v>
      </c>
      <c r="M233" s="118">
        <v>0</v>
      </c>
      <c r="N233" s="118">
        <v>169847.66</v>
      </c>
      <c r="O233" s="119">
        <v>143765.51999999999</v>
      </c>
      <c r="P233" s="119">
        <v>3928.1</v>
      </c>
      <c r="Q233" s="119">
        <v>0</v>
      </c>
      <c r="R233" s="119">
        <v>0</v>
      </c>
      <c r="S233" s="119">
        <v>0</v>
      </c>
      <c r="T233" s="116" t="s">
        <v>929</v>
      </c>
      <c r="U233" s="116" t="s">
        <v>92</v>
      </c>
      <c r="V233" s="116" t="s">
        <v>1819</v>
      </c>
      <c r="W233" s="116">
        <v>20180303</v>
      </c>
      <c r="X233" s="116">
        <v>20181230</v>
      </c>
      <c r="Y233" s="116"/>
      <c r="Z233" s="116" t="s">
        <v>922</v>
      </c>
      <c r="AA233" s="116" t="s">
        <v>105</v>
      </c>
      <c r="AB233" s="116" t="s">
        <v>923</v>
      </c>
      <c r="AC233" s="116" t="s">
        <v>106</v>
      </c>
      <c r="AD233" s="116">
        <v>2018</v>
      </c>
      <c r="AE233" s="116" t="s">
        <v>96</v>
      </c>
      <c r="AF233" s="116" t="s">
        <v>1794</v>
      </c>
      <c r="AG233" s="116" t="s">
        <v>1795</v>
      </c>
      <c r="AH233" s="116" t="s">
        <v>1183</v>
      </c>
      <c r="AI233" s="116" t="s">
        <v>162</v>
      </c>
      <c r="AJ233" s="116" t="s">
        <v>1796</v>
      </c>
      <c r="AK233" s="116" t="s">
        <v>120</v>
      </c>
      <c r="AL233" s="116" t="s">
        <v>129</v>
      </c>
      <c r="AM233" s="116" t="s">
        <v>853</v>
      </c>
      <c r="AN233" s="116"/>
      <c r="AO233" s="120">
        <v>43400</v>
      </c>
      <c r="AP233" s="116" t="s">
        <v>111</v>
      </c>
      <c r="AQ233" s="116">
        <v>33</v>
      </c>
      <c r="AR233" s="125"/>
      <c r="AS233" s="122">
        <v>43374</v>
      </c>
      <c r="AT233" s="123"/>
      <c r="AU233" s="116"/>
      <c r="AV233" s="124"/>
      <c r="AW233" s="123"/>
      <c r="AX233" s="116" t="s">
        <v>1183</v>
      </c>
    </row>
    <row r="234" spans="1:50" ht="15" hidden="1">
      <c r="A234" s="116" t="s">
        <v>1823</v>
      </c>
      <c r="B234" s="116" t="s">
        <v>90</v>
      </c>
      <c r="C234" s="116" t="s">
        <v>91</v>
      </c>
      <c r="D234" s="117">
        <v>5431.58</v>
      </c>
      <c r="E234" s="118">
        <v>3794.91</v>
      </c>
      <c r="F234" s="118">
        <v>5431.58</v>
      </c>
      <c r="G234" s="118">
        <v>5431.58</v>
      </c>
      <c r="H234" s="118">
        <v>97407.56</v>
      </c>
      <c r="I234" s="118">
        <v>14611.13</v>
      </c>
      <c r="J234" s="118">
        <v>0</v>
      </c>
      <c r="K234" s="118">
        <v>0</v>
      </c>
      <c r="L234" s="118">
        <v>0</v>
      </c>
      <c r="M234" s="118">
        <v>0</v>
      </c>
      <c r="N234" s="118">
        <v>112018.69</v>
      </c>
      <c r="O234" s="119">
        <v>81749.56</v>
      </c>
      <c r="P234" s="119">
        <v>0</v>
      </c>
      <c r="Q234" s="119">
        <v>0</v>
      </c>
      <c r="R234" s="119">
        <v>15658</v>
      </c>
      <c r="S234" s="119">
        <v>0</v>
      </c>
      <c r="T234" s="116" t="s">
        <v>1559</v>
      </c>
      <c r="U234" s="116" t="s">
        <v>92</v>
      </c>
      <c r="V234" s="116" t="s">
        <v>322</v>
      </c>
      <c r="W234" s="116">
        <v>20180303</v>
      </c>
      <c r="X234" s="116">
        <v>20181230</v>
      </c>
      <c r="Y234" s="116"/>
      <c r="Z234" s="116" t="s">
        <v>922</v>
      </c>
      <c r="AA234" s="116" t="s">
        <v>105</v>
      </c>
      <c r="AB234" s="116" t="s">
        <v>923</v>
      </c>
      <c r="AC234" s="116" t="s">
        <v>106</v>
      </c>
      <c r="AD234" s="116">
        <v>2018</v>
      </c>
      <c r="AE234" s="116" t="s">
        <v>96</v>
      </c>
      <c r="AF234" s="116" t="s">
        <v>289</v>
      </c>
      <c r="AG234" s="116" t="s">
        <v>1975</v>
      </c>
      <c r="AH234" s="116" t="s">
        <v>1976</v>
      </c>
      <c r="AI234" s="116" t="s">
        <v>162</v>
      </c>
      <c r="AJ234" s="116" t="s">
        <v>1977</v>
      </c>
      <c r="AK234" s="116" t="s">
        <v>109</v>
      </c>
      <c r="AL234" s="116" t="s">
        <v>129</v>
      </c>
      <c r="AM234" s="116" t="s">
        <v>907</v>
      </c>
      <c r="AN234" s="116"/>
      <c r="AO234" s="120">
        <v>43402</v>
      </c>
      <c r="AP234" s="116" t="s">
        <v>111</v>
      </c>
      <c r="AQ234" s="116">
        <v>33</v>
      </c>
      <c r="AR234" s="125"/>
      <c r="AS234" s="122">
        <v>43374</v>
      </c>
      <c r="AT234" s="123"/>
      <c r="AU234" s="116"/>
      <c r="AV234" s="124"/>
      <c r="AW234" s="123"/>
      <c r="AX234" s="116" t="s">
        <v>1976</v>
      </c>
    </row>
    <row r="235" spans="1:50" ht="15" hidden="1">
      <c r="A235" s="116" t="s">
        <v>1826</v>
      </c>
      <c r="B235" s="116" t="s">
        <v>90</v>
      </c>
      <c r="C235" s="116" t="s">
        <v>91</v>
      </c>
      <c r="D235" s="117">
        <v>0</v>
      </c>
      <c r="E235" s="118">
        <v>544.82000000000005</v>
      </c>
      <c r="F235" s="118">
        <v>0</v>
      </c>
      <c r="G235" s="118">
        <v>0</v>
      </c>
      <c r="H235" s="118">
        <v>15658</v>
      </c>
      <c r="I235" s="118">
        <v>2348.6999999999998</v>
      </c>
      <c r="J235" s="118">
        <v>0</v>
      </c>
      <c r="K235" s="118">
        <v>0</v>
      </c>
      <c r="L235" s="118">
        <v>0</v>
      </c>
      <c r="M235" s="118">
        <v>0</v>
      </c>
      <c r="N235" s="118">
        <v>18006.7</v>
      </c>
      <c r="O235" s="119">
        <v>0</v>
      </c>
      <c r="P235" s="119">
        <v>0</v>
      </c>
      <c r="Q235" s="119">
        <v>0</v>
      </c>
      <c r="R235" s="119">
        <v>15658</v>
      </c>
      <c r="S235" s="119">
        <v>0</v>
      </c>
      <c r="T235" s="116" t="s">
        <v>1484</v>
      </c>
      <c r="U235" s="116" t="s">
        <v>92</v>
      </c>
      <c r="V235" s="116" t="s">
        <v>359</v>
      </c>
      <c r="W235" s="116">
        <v>20180313</v>
      </c>
      <c r="X235" s="116">
        <v>20181230</v>
      </c>
      <c r="Y235" s="116"/>
      <c r="Z235" s="116" t="s">
        <v>922</v>
      </c>
      <c r="AA235" s="116" t="s">
        <v>105</v>
      </c>
      <c r="AB235" s="116" t="s">
        <v>923</v>
      </c>
      <c r="AC235" s="116" t="s">
        <v>106</v>
      </c>
      <c r="AD235" s="116">
        <v>2018</v>
      </c>
      <c r="AE235" s="116" t="s">
        <v>96</v>
      </c>
      <c r="AF235" s="116" t="s">
        <v>289</v>
      </c>
      <c r="AG235" s="116" t="s">
        <v>1849</v>
      </c>
      <c r="AH235" s="116" t="s">
        <v>369</v>
      </c>
      <c r="AI235" s="116" t="s">
        <v>108</v>
      </c>
      <c r="AJ235" s="116" t="s">
        <v>1850</v>
      </c>
      <c r="AK235" s="116" t="s">
        <v>109</v>
      </c>
      <c r="AL235" s="116" t="s">
        <v>129</v>
      </c>
      <c r="AM235" s="116" t="s">
        <v>875</v>
      </c>
      <c r="AN235" s="116"/>
      <c r="AO235" s="120">
        <v>43403</v>
      </c>
      <c r="AP235" s="116" t="s">
        <v>111</v>
      </c>
      <c r="AQ235" s="116">
        <v>33</v>
      </c>
      <c r="AR235" s="125"/>
      <c r="AS235" s="122">
        <v>43374</v>
      </c>
      <c r="AT235" s="123"/>
      <c r="AU235" s="116"/>
      <c r="AV235" s="124"/>
      <c r="AW235" s="123"/>
      <c r="AX235" s="116" t="s">
        <v>369</v>
      </c>
    </row>
    <row r="236" spans="1:50" ht="15" hidden="1">
      <c r="A236" s="116" t="s">
        <v>1826</v>
      </c>
      <c r="B236" s="116" t="s">
        <v>90</v>
      </c>
      <c r="C236" s="116" t="s">
        <v>91</v>
      </c>
      <c r="D236" s="117">
        <v>0</v>
      </c>
      <c r="E236" s="118">
        <v>544.82000000000005</v>
      </c>
      <c r="F236" s="118">
        <v>0</v>
      </c>
      <c r="G236" s="118">
        <v>0</v>
      </c>
      <c r="H236" s="118">
        <v>0</v>
      </c>
      <c r="I236" s="118">
        <v>-1788.45</v>
      </c>
      <c r="J236" s="118">
        <v>0</v>
      </c>
      <c r="K236" s="118">
        <v>-15658</v>
      </c>
      <c r="L236" s="118">
        <v>0</v>
      </c>
      <c r="M236" s="118">
        <v>3735</v>
      </c>
      <c r="N236" s="118">
        <v>-13711.45</v>
      </c>
      <c r="O236" s="119">
        <v>0</v>
      </c>
      <c r="P236" s="119">
        <v>0</v>
      </c>
      <c r="Q236" s="119">
        <v>0</v>
      </c>
      <c r="R236" s="119">
        <v>0</v>
      </c>
      <c r="S236" s="119">
        <v>0</v>
      </c>
      <c r="T236" s="116" t="s">
        <v>1830</v>
      </c>
      <c r="U236" s="116" t="s">
        <v>92</v>
      </c>
      <c r="V236" s="116" t="s">
        <v>359</v>
      </c>
      <c r="W236" s="116">
        <v>20180313</v>
      </c>
      <c r="X236" s="116">
        <v>20181230</v>
      </c>
      <c r="Y236" s="116"/>
      <c r="Z236" s="116" t="s">
        <v>922</v>
      </c>
      <c r="AA236" s="116" t="s">
        <v>105</v>
      </c>
      <c r="AB236" s="116" t="s">
        <v>923</v>
      </c>
      <c r="AC236" s="116" t="s">
        <v>106</v>
      </c>
      <c r="AD236" s="116">
        <v>2018</v>
      </c>
      <c r="AE236" s="116" t="s">
        <v>96</v>
      </c>
      <c r="AF236" s="116" t="s">
        <v>289</v>
      </c>
      <c r="AG236" s="116" t="s">
        <v>1911</v>
      </c>
      <c r="AH236" s="116" t="s">
        <v>1912</v>
      </c>
      <c r="AI236" s="116" t="s">
        <v>108</v>
      </c>
      <c r="AJ236" s="116" t="s">
        <v>1913</v>
      </c>
      <c r="AK236" s="116" t="s">
        <v>141</v>
      </c>
      <c r="AL236" s="116" t="s">
        <v>129</v>
      </c>
      <c r="AM236" s="116" t="s">
        <v>890</v>
      </c>
      <c r="AN236" s="116"/>
      <c r="AO236" s="120">
        <v>43403</v>
      </c>
      <c r="AP236" s="116" t="s">
        <v>111</v>
      </c>
      <c r="AQ236" s="116">
        <v>33</v>
      </c>
      <c r="AR236" s="125"/>
      <c r="AS236" s="122">
        <v>43374</v>
      </c>
      <c r="AT236" s="123"/>
      <c r="AU236" s="116"/>
      <c r="AV236" s="124"/>
      <c r="AW236" s="123"/>
      <c r="AX236" s="116" t="s">
        <v>1912</v>
      </c>
    </row>
    <row r="237" spans="1:50" ht="15" hidden="1">
      <c r="A237" s="116" t="s">
        <v>1833</v>
      </c>
      <c r="B237" s="116" t="s">
        <v>90</v>
      </c>
      <c r="C237" s="116" t="s">
        <v>91</v>
      </c>
      <c r="D237" s="117">
        <v>0</v>
      </c>
      <c r="E237" s="118">
        <v>1072.07</v>
      </c>
      <c r="F237" s="118">
        <v>0</v>
      </c>
      <c r="G237" s="118">
        <v>0</v>
      </c>
      <c r="H237" s="118">
        <v>3317.28</v>
      </c>
      <c r="I237" s="118">
        <v>-1851.11</v>
      </c>
      <c r="J237" s="118">
        <v>0</v>
      </c>
      <c r="K237" s="118">
        <v>-15658</v>
      </c>
      <c r="L237" s="118">
        <v>0</v>
      </c>
      <c r="M237" s="118">
        <v>0</v>
      </c>
      <c r="N237" s="118">
        <v>-14191.83</v>
      </c>
      <c r="O237" s="119">
        <v>3317.28</v>
      </c>
      <c r="P237" s="119">
        <v>0</v>
      </c>
      <c r="Q237" s="119">
        <v>0</v>
      </c>
      <c r="R237" s="119">
        <v>0</v>
      </c>
      <c r="S237" s="119">
        <v>0</v>
      </c>
      <c r="T237" s="116" t="s">
        <v>1031</v>
      </c>
      <c r="U237" s="116" t="s">
        <v>92</v>
      </c>
      <c r="V237" s="116" t="s">
        <v>361</v>
      </c>
      <c r="W237" s="116">
        <v>20180313</v>
      </c>
      <c r="X237" s="116">
        <v>20181230</v>
      </c>
      <c r="Y237" s="116"/>
      <c r="Z237" s="116" t="s">
        <v>922</v>
      </c>
      <c r="AA237" s="116" t="s">
        <v>105</v>
      </c>
      <c r="AB237" s="116" t="s">
        <v>923</v>
      </c>
      <c r="AC237" s="116" t="s">
        <v>122</v>
      </c>
      <c r="AD237" s="116">
        <v>2017</v>
      </c>
      <c r="AE237" s="116" t="s">
        <v>96</v>
      </c>
      <c r="AF237" s="116" t="s">
        <v>954</v>
      </c>
      <c r="AG237" s="116" t="s">
        <v>1363</v>
      </c>
      <c r="AH237" s="116" t="s">
        <v>938</v>
      </c>
      <c r="AI237" s="116" t="s">
        <v>162</v>
      </c>
      <c r="AJ237" s="116" t="s">
        <v>1364</v>
      </c>
      <c r="AK237" s="116" t="s">
        <v>314</v>
      </c>
      <c r="AL237" s="116" t="s">
        <v>129</v>
      </c>
      <c r="AM237" s="116" t="s">
        <v>712</v>
      </c>
      <c r="AN237" s="116"/>
      <c r="AO237" s="120">
        <v>43404</v>
      </c>
      <c r="AP237" s="116" t="s">
        <v>111</v>
      </c>
      <c r="AQ237" s="116">
        <v>33</v>
      </c>
      <c r="AR237" s="125"/>
      <c r="AS237" s="122">
        <v>43374</v>
      </c>
      <c r="AT237" s="123"/>
      <c r="AU237" s="116"/>
      <c r="AV237" s="124"/>
      <c r="AW237" s="123"/>
      <c r="AX237" s="116" t="s">
        <v>938</v>
      </c>
    </row>
    <row r="238" spans="1:50" ht="15" hidden="1">
      <c r="A238" s="116" t="s">
        <v>1837</v>
      </c>
      <c r="B238" s="116" t="s">
        <v>90</v>
      </c>
      <c r="C238" s="116" t="s">
        <v>91</v>
      </c>
      <c r="D238" s="117">
        <v>0</v>
      </c>
      <c r="E238" s="118">
        <v>0</v>
      </c>
      <c r="F238" s="118">
        <v>0</v>
      </c>
      <c r="G238" s="118">
        <v>0</v>
      </c>
      <c r="H238" s="118">
        <v>91732.68</v>
      </c>
      <c r="I238" s="118">
        <v>12043.7</v>
      </c>
      <c r="J238" s="118">
        <v>0</v>
      </c>
      <c r="K238" s="118">
        <v>-15658</v>
      </c>
      <c r="L238" s="118">
        <v>0</v>
      </c>
      <c r="M238" s="118">
        <v>0</v>
      </c>
      <c r="N238" s="118">
        <v>88118.38</v>
      </c>
      <c r="O238" s="119">
        <v>91732.68</v>
      </c>
      <c r="P238" s="119">
        <v>0</v>
      </c>
      <c r="Q238" s="119">
        <v>0</v>
      </c>
      <c r="R238" s="119">
        <v>0</v>
      </c>
      <c r="S238" s="119">
        <v>0</v>
      </c>
      <c r="T238" s="116" t="s">
        <v>1610</v>
      </c>
      <c r="U238" s="116" t="s">
        <v>92</v>
      </c>
      <c r="V238" s="116" t="s">
        <v>367</v>
      </c>
      <c r="W238" s="116">
        <v>20180313</v>
      </c>
      <c r="X238" s="116">
        <v>20181230</v>
      </c>
      <c r="Y238" s="116"/>
      <c r="Z238" s="116" t="s">
        <v>922</v>
      </c>
      <c r="AA238" s="116" t="s">
        <v>105</v>
      </c>
      <c r="AB238" s="116" t="s">
        <v>923</v>
      </c>
      <c r="AC238" s="116" t="s">
        <v>106</v>
      </c>
      <c r="AD238" s="116">
        <v>2018</v>
      </c>
      <c r="AE238" s="116" t="s">
        <v>96</v>
      </c>
      <c r="AF238" s="116" t="s">
        <v>289</v>
      </c>
      <c r="AG238" s="116" t="s">
        <v>2005</v>
      </c>
      <c r="AH238" s="116"/>
      <c r="AI238" s="116" t="s">
        <v>119</v>
      </c>
      <c r="AJ238" s="116" t="s">
        <v>2006</v>
      </c>
      <c r="AK238" s="116" t="s">
        <v>314</v>
      </c>
      <c r="AL238" s="116" t="s">
        <v>110</v>
      </c>
      <c r="AM238" s="116" t="s">
        <v>917</v>
      </c>
      <c r="AN238" s="116"/>
      <c r="AO238" s="120">
        <v>43404</v>
      </c>
      <c r="AP238" s="116" t="s">
        <v>111</v>
      </c>
      <c r="AQ238" s="116">
        <v>33</v>
      </c>
      <c r="AR238" s="123"/>
      <c r="AS238" s="122">
        <v>43374</v>
      </c>
      <c r="AT238" s="123"/>
      <c r="AU238" s="116"/>
      <c r="AV238" s="124"/>
      <c r="AW238" s="123"/>
      <c r="AX238" s="116"/>
    </row>
    <row r="239" spans="1:50" ht="15" hidden="1">
      <c r="A239" s="116" t="s">
        <v>1841</v>
      </c>
      <c r="B239" s="116" t="s">
        <v>90</v>
      </c>
      <c r="C239" s="116" t="s">
        <v>91</v>
      </c>
      <c r="D239" s="117">
        <v>0</v>
      </c>
      <c r="E239" s="118">
        <v>560.16</v>
      </c>
      <c r="F239" s="118">
        <v>0</v>
      </c>
      <c r="G239" s="118">
        <v>0</v>
      </c>
      <c r="H239" s="118">
        <v>10016.23</v>
      </c>
      <c r="I239" s="118">
        <v>1502.43</v>
      </c>
      <c r="J239" s="118">
        <v>0</v>
      </c>
      <c r="K239" s="118">
        <v>0</v>
      </c>
      <c r="L239" s="118">
        <v>0</v>
      </c>
      <c r="M239" s="118">
        <v>0</v>
      </c>
      <c r="N239" s="118">
        <v>11518.66</v>
      </c>
      <c r="O239" s="119">
        <v>0</v>
      </c>
      <c r="P239" s="119">
        <v>0</v>
      </c>
      <c r="Q239" s="119">
        <v>0</v>
      </c>
      <c r="R239" s="119">
        <v>10016.23</v>
      </c>
      <c r="S239" s="119">
        <v>0</v>
      </c>
      <c r="T239" s="116" t="s">
        <v>1708</v>
      </c>
      <c r="U239" s="116" t="s">
        <v>92</v>
      </c>
      <c r="V239" s="116" t="s">
        <v>290</v>
      </c>
      <c r="W239" s="116">
        <v>20180507</v>
      </c>
      <c r="X239" s="116">
        <v>20181230</v>
      </c>
      <c r="Y239" s="116"/>
      <c r="Z239" s="116" t="s">
        <v>922</v>
      </c>
      <c r="AA239" s="116" t="s">
        <v>105</v>
      </c>
      <c r="AB239" s="116" t="s">
        <v>923</v>
      </c>
      <c r="AC239" s="116" t="s">
        <v>106</v>
      </c>
      <c r="AD239" s="116">
        <v>2017</v>
      </c>
      <c r="AE239" s="116" t="s">
        <v>96</v>
      </c>
      <c r="AF239" s="116" t="s">
        <v>954</v>
      </c>
      <c r="AG239" s="116" t="s">
        <v>1538</v>
      </c>
      <c r="AH239" s="116" t="s">
        <v>434</v>
      </c>
      <c r="AI239" s="116" t="s">
        <v>162</v>
      </c>
      <c r="AJ239" s="116" t="s">
        <v>1169</v>
      </c>
      <c r="AK239" s="116" t="s">
        <v>120</v>
      </c>
      <c r="AL239" s="116" t="s">
        <v>129</v>
      </c>
      <c r="AM239" s="116" t="s">
        <v>767</v>
      </c>
      <c r="AN239" s="116"/>
      <c r="AO239" s="120">
        <v>43405</v>
      </c>
      <c r="AP239" s="116" t="s">
        <v>111</v>
      </c>
      <c r="AQ239" s="116">
        <v>33</v>
      </c>
      <c r="AR239" s="125"/>
      <c r="AS239" s="122">
        <v>43405</v>
      </c>
      <c r="AT239" s="123"/>
      <c r="AU239" s="116"/>
      <c r="AV239" s="124"/>
      <c r="AW239" s="123"/>
      <c r="AX239" s="116" t="s">
        <v>434</v>
      </c>
    </row>
    <row r="240" spans="1:50" ht="15" hidden="1">
      <c r="A240" s="116" t="s">
        <v>1841</v>
      </c>
      <c r="B240" s="116" t="s">
        <v>90</v>
      </c>
      <c r="C240" s="116" t="s">
        <v>91</v>
      </c>
      <c r="D240" s="117">
        <v>0</v>
      </c>
      <c r="E240" s="118">
        <v>560.16</v>
      </c>
      <c r="F240" s="118">
        <v>0</v>
      </c>
      <c r="G240" s="118">
        <v>0</v>
      </c>
      <c r="H240" s="118">
        <v>0</v>
      </c>
      <c r="I240" s="118">
        <v>2348.6999999999998</v>
      </c>
      <c r="J240" s="118">
        <v>0</v>
      </c>
      <c r="K240" s="118">
        <v>0</v>
      </c>
      <c r="L240" s="118">
        <v>0</v>
      </c>
      <c r="M240" s="118">
        <v>15658</v>
      </c>
      <c r="N240" s="118">
        <v>18006.7</v>
      </c>
      <c r="O240" s="119">
        <v>0</v>
      </c>
      <c r="P240" s="119">
        <v>0</v>
      </c>
      <c r="Q240" s="119">
        <v>0</v>
      </c>
      <c r="R240" s="119">
        <v>0</v>
      </c>
      <c r="S240" s="119">
        <v>0</v>
      </c>
      <c r="T240" s="116" t="s">
        <v>1845</v>
      </c>
      <c r="U240" s="116" t="s">
        <v>92</v>
      </c>
      <c r="V240" s="116" t="s">
        <v>290</v>
      </c>
      <c r="W240" s="116">
        <v>20180507</v>
      </c>
      <c r="X240" s="116">
        <v>20181230</v>
      </c>
      <c r="Y240" s="116"/>
      <c r="Z240" s="116" t="s">
        <v>922</v>
      </c>
      <c r="AA240" s="116" t="s">
        <v>105</v>
      </c>
      <c r="AB240" s="116" t="s">
        <v>923</v>
      </c>
      <c r="AC240" s="116" t="s">
        <v>169</v>
      </c>
      <c r="AD240" s="116">
        <v>2017</v>
      </c>
      <c r="AE240" s="116" t="s">
        <v>96</v>
      </c>
      <c r="AF240" s="116" t="s">
        <v>954</v>
      </c>
      <c r="AG240" s="116" t="s">
        <v>1588</v>
      </c>
      <c r="AH240" s="116" t="s">
        <v>1589</v>
      </c>
      <c r="AI240" s="116" t="s">
        <v>162</v>
      </c>
      <c r="AJ240" s="116" t="s">
        <v>1590</v>
      </c>
      <c r="AK240" s="116" t="s">
        <v>344</v>
      </c>
      <c r="AL240" s="116" t="s">
        <v>129</v>
      </c>
      <c r="AM240" s="116" t="s">
        <v>783</v>
      </c>
      <c r="AN240" s="116"/>
      <c r="AO240" s="120">
        <v>43409</v>
      </c>
      <c r="AP240" s="116" t="s">
        <v>111</v>
      </c>
      <c r="AQ240" s="116">
        <v>33</v>
      </c>
      <c r="AR240" s="125"/>
      <c r="AS240" s="122">
        <v>43405</v>
      </c>
      <c r="AT240" s="123"/>
      <c r="AU240" s="116"/>
      <c r="AV240" s="124"/>
      <c r="AW240" s="123"/>
      <c r="AX240" s="116" t="s">
        <v>1589</v>
      </c>
    </row>
    <row r="241" spans="1:50" ht="15" hidden="1">
      <c r="A241" s="116" t="s">
        <v>1841</v>
      </c>
      <c r="B241" s="116" t="s">
        <v>90</v>
      </c>
      <c r="C241" s="116" t="s">
        <v>91</v>
      </c>
      <c r="D241" s="117">
        <v>0</v>
      </c>
      <c r="E241" s="118">
        <v>1102.25</v>
      </c>
      <c r="F241" s="118">
        <v>0</v>
      </c>
      <c r="G241" s="118">
        <v>0</v>
      </c>
      <c r="H241" s="118">
        <v>33313.49</v>
      </c>
      <c r="I241" s="118">
        <v>4997.0200000000004</v>
      </c>
      <c r="J241" s="118">
        <v>0</v>
      </c>
      <c r="K241" s="118">
        <v>0</v>
      </c>
      <c r="L241" s="118">
        <v>0</v>
      </c>
      <c r="M241" s="118">
        <v>0</v>
      </c>
      <c r="N241" s="118">
        <v>38310.51</v>
      </c>
      <c r="O241" s="119">
        <v>30063.49</v>
      </c>
      <c r="P241" s="119">
        <v>3250</v>
      </c>
      <c r="Q241" s="119">
        <v>0</v>
      </c>
      <c r="R241" s="119">
        <v>0</v>
      </c>
      <c r="S241" s="119">
        <v>0</v>
      </c>
      <c r="T241" s="116" t="s">
        <v>1848</v>
      </c>
      <c r="U241" s="116" t="s">
        <v>92</v>
      </c>
      <c r="V241" s="116" t="s">
        <v>290</v>
      </c>
      <c r="W241" s="116">
        <v>20180507</v>
      </c>
      <c r="X241" s="116">
        <v>20181230</v>
      </c>
      <c r="Y241" s="116"/>
      <c r="Z241" s="116" t="s">
        <v>922</v>
      </c>
      <c r="AA241" s="116" t="s">
        <v>105</v>
      </c>
      <c r="AB241" s="116" t="s">
        <v>923</v>
      </c>
      <c r="AC241" s="116" t="s">
        <v>106</v>
      </c>
      <c r="AD241" s="116">
        <v>2018</v>
      </c>
      <c r="AE241" s="116" t="s">
        <v>96</v>
      </c>
      <c r="AF241" s="116" t="s">
        <v>289</v>
      </c>
      <c r="AG241" s="116" t="s">
        <v>1893</v>
      </c>
      <c r="AH241" s="116" t="s">
        <v>1894</v>
      </c>
      <c r="AI241" s="116" t="s">
        <v>162</v>
      </c>
      <c r="AJ241" s="116" t="s">
        <v>1895</v>
      </c>
      <c r="AK241" s="116" t="s">
        <v>163</v>
      </c>
      <c r="AL241" s="116" t="s">
        <v>129</v>
      </c>
      <c r="AM241" s="116" t="s">
        <v>886</v>
      </c>
      <c r="AN241" s="116"/>
      <c r="AO241" s="120">
        <v>43410</v>
      </c>
      <c r="AP241" s="116" t="s">
        <v>111</v>
      </c>
      <c r="AQ241" s="116">
        <v>33</v>
      </c>
      <c r="AR241" s="123"/>
      <c r="AS241" s="122">
        <v>43405</v>
      </c>
      <c r="AT241" s="123"/>
      <c r="AU241" s="116"/>
      <c r="AV241" s="124"/>
      <c r="AW241" s="123"/>
      <c r="AX241" s="116" t="s">
        <v>1894</v>
      </c>
    </row>
    <row r="242" spans="1:50" ht="15" hidden="1">
      <c r="A242" s="116" t="s">
        <v>1851</v>
      </c>
      <c r="B242" s="116" t="s">
        <v>90</v>
      </c>
      <c r="C242" s="116" t="s">
        <v>91</v>
      </c>
      <c r="D242" s="117">
        <v>0</v>
      </c>
      <c r="E242" s="118">
        <v>1102.25</v>
      </c>
      <c r="F242" s="118">
        <v>0</v>
      </c>
      <c r="G242" s="118">
        <v>0</v>
      </c>
      <c r="H242" s="118">
        <v>3250</v>
      </c>
      <c r="I242" s="118">
        <v>487.5</v>
      </c>
      <c r="J242" s="118">
        <v>0</v>
      </c>
      <c r="K242" s="118">
        <v>0</v>
      </c>
      <c r="L242" s="118">
        <v>0</v>
      </c>
      <c r="M242" s="118">
        <v>0</v>
      </c>
      <c r="N242" s="118">
        <v>3737.5</v>
      </c>
      <c r="O242" s="119">
        <v>0</v>
      </c>
      <c r="P242" s="119">
        <v>0</v>
      </c>
      <c r="Q242" s="119">
        <v>0</v>
      </c>
      <c r="R242" s="119">
        <v>3250</v>
      </c>
      <c r="S242" s="119">
        <v>0</v>
      </c>
      <c r="T242" s="116" t="s">
        <v>1547</v>
      </c>
      <c r="U242" s="116" t="s">
        <v>92</v>
      </c>
      <c r="V242" s="116" t="s">
        <v>293</v>
      </c>
      <c r="W242" s="116">
        <v>20180507</v>
      </c>
      <c r="X242" s="116">
        <v>20181230</v>
      </c>
      <c r="Y242" s="116"/>
      <c r="Z242" s="116" t="s">
        <v>922</v>
      </c>
      <c r="AA242" s="116" t="s">
        <v>105</v>
      </c>
      <c r="AB242" s="116" t="s">
        <v>923</v>
      </c>
      <c r="AC242" s="116" t="s">
        <v>137</v>
      </c>
      <c r="AD242" s="116">
        <v>2016</v>
      </c>
      <c r="AE242" s="116" t="s">
        <v>96</v>
      </c>
      <c r="AF242" s="116" t="s">
        <v>954</v>
      </c>
      <c r="AG242" s="116" t="s">
        <v>1125</v>
      </c>
      <c r="AH242" s="116"/>
      <c r="AI242" s="116" t="s">
        <v>119</v>
      </c>
      <c r="AJ242" s="116" t="s">
        <v>1126</v>
      </c>
      <c r="AK242" s="116" t="s">
        <v>468</v>
      </c>
      <c r="AL242" s="116" t="s">
        <v>110</v>
      </c>
      <c r="AM242" s="116" t="s">
        <v>618</v>
      </c>
      <c r="AN242" s="116"/>
      <c r="AO242" s="120">
        <v>43411</v>
      </c>
      <c r="AP242" s="116" t="s">
        <v>111</v>
      </c>
      <c r="AQ242" s="116">
        <v>33</v>
      </c>
      <c r="AR242" s="125"/>
      <c r="AS242" s="122">
        <v>43405</v>
      </c>
      <c r="AT242" s="123"/>
      <c r="AU242" s="116"/>
      <c r="AV242" s="124"/>
      <c r="AW242" s="123"/>
      <c r="AX242" s="116"/>
    </row>
    <row r="243" spans="1:50" ht="15" hidden="1">
      <c r="A243" s="116" t="s">
        <v>1855</v>
      </c>
      <c r="B243" s="116" t="s">
        <v>90</v>
      </c>
      <c r="C243" s="116" t="s">
        <v>91</v>
      </c>
      <c r="D243" s="117">
        <v>0</v>
      </c>
      <c r="E243" s="118">
        <v>2204.4899999999998</v>
      </c>
      <c r="F243" s="118">
        <v>4282.4799999999996</v>
      </c>
      <c r="G243" s="118">
        <v>4282.4799999999996</v>
      </c>
      <c r="H243" s="118">
        <v>9257.48</v>
      </c>
      <c r="I243" s="118">
        <v>638.62</v>
      </c>
      <c r="J243" s="118">
        <v>0</v>
      </c>
      <c r="K243" s="118">
        <v>-5000</v>
      </c>
      <c r="L243" s="118">
        <v>0</v>
      </c>
      <c r="M243" s="118">
        <v>0</v>
      </c>
      <c r="N243" s="118">
        <v>4896.1000000000004</v>
      </c>
      <c r="O243" s="119">
        <v>9257.48</v>
      </c>
      <c r="P243" s="119">
        <v>0</v>
      </c>
      <c r="Q243" s="119">
        <v>0</v>
      </c>
      <c r="R243" s="119">
        <v>0</v>
      </c>
      <c r="S243" s="119">
        <v>0</v>
      </c>
      <c r="T243" s="116" t="s">
        <v>1856</v>
      </c>
      <c r="U243" s="116" t="s">
        <v>92</v>
      </c>
      <c r="V243" s="116" t="s">
        <v>294</v>
      </c>
      <c r="W243" s="116">
        <v>20180507</v>
      </c>
      <c r="X243" s="116">
        <v>20181230</v>
      </c>
      <c r="Y243" s="116"/>
      <c r="Z243" s="116" t="s">
        <v>922</v>
      </c>
      <c r="AA243" s="116" t="s">
        <v>105</v>
      </c>
      <c r="AB243" s="116" t="s">
        <v>923</v>
      </c>
      <c r="AC243" s="116" t="s">
        <v>106</v>
      </c>
      <c r="AD243" s="116">
        <v>2016</v>
      </c>
      <c r="AE243" s="116" t="s">
        <v>96</v>
      </c>
      <c r="AF243" s="116" t="s">
        <v>954</v>
      </c>
      <c r="AG243" s="116" t="s">
        <v>1182</v>
      </c>
      <c r="AH243" s="116" t="s">
        <v>1183</v>
      </c>
      <c r="AI243" s="116" t="s">
        <v>108</v>
      </c>
      <c r="AJ243" s="116" t="s">
        <v>1184</v>
      </c>
      <c r="AK243" s="116" t="s">
        <v>120</v>
      </c>
      <c r="AL243" s="116" t="s">
        <v>129</v>
      </c>
      <c r="AM243" s="116" t="s">
        <v>641</v>
      </c>
      <c r="AN243" s="116"/>
      <c r="AO243" s="120">
        <v>43411</v>
      </c>
      <c r="AP243" s="116" t="s">
        <v>111</v>
      </c>
      <c r="AQ243" s="116">
        <v>33</v>
      </c>
      <c r="AR243" s="123"/>
      <c r="AS243" s="122">
        <v>43405</v>
      </c>
      <c r="AT243" s="123"/>
      <c r="AU243" s="116"/>
      <c r="AV243" s="124"/>
      <c r="AW243" s="123"/>
      <c r="AX243" s="116" t="s">
        <v>1183</v>
      </c>
    </row>
    <row r="244" spans="1:50" ht="15" hidden="1">
      <c r="A244" s="116" t="s">
        <v>1859</v>
      </c>
      <c r="B244" s="116" t="s">
        <v>90</v>
      </c>
      <c r="C244" s="116" t="s">
        <v>91</v>
      </c>
      <c r="D244" s="117">
        <v>0</v>
      </c>
      <c r="E244" s="118">
        <v>1102.25</v>
      </c>
      <c r="F244" s="118">
        <v>0</v>
      </c>
      <c r="G244" s="118">
        <v>0</v>
      </c>
      <c r="H244" s="118">
        <v>0</v>
      </c>
      <c r="I244" s="118">
        <v>-2348.6999999999998</v>
      </c>
      <c r="J244" s="118">
        <v>0</v>
      </c>
      <c r="K244" s="118">
        <v>-15658</v>
      </c>
      <c r="L244" s="118">
        <v>0</v>
      </c>
      <c r="M244" s="118">
        <v>0</v>
      </c>
      <c r="N244" s="118">
        <v>-18006.7</v>
      </c>
      <c r="O244" s="119">
        <v>0</v>
      </c>
      <c r="P244" s="119">
        <v>0</v>
      </c>
      <c r="Q244" s="119">
        <v>0</v>
      </c>
      <c r="R244" s="119">
        <v>0</v>
      </c>
      <c r="S244" s="119">
        <v>0</v>
      </c>
      <c r="T244" s="116" t="s">
        <v>1008</v>
      </c>
      <c r="U244" s="116" t="s">
        <v>92</v>
      </c>
      <c r="V244" s="116" t="s">
        <v>302</v>
      </c>
      <c r="W244" s="116">
        <v>20180507</v>
      </c>
      <c r="X244" s="116">
        <v>20181230</v>
      </c>
      <c r="Y244" s="116"/>
      <c r="Z244" s="116" t="s">
        <v>922</v>
      </c>
      <c r="AA244" s="116" t="s">
        <v>105</v>
      </c>
      <c r="AB244" s="116" t="s">
        <v>923</v>
      </c>
      <c r="AC244" s="116" t="s">
        <v>114</v>
      </c>
      <c r="AD244" s="116">
        <v>2017</v>
      </c>
      <c r="AE244" s="116" t="s">
        <v>96</v>
      </c>
      <c r="AF244" s="116" t="s">
        <v>954</v>
      </c>
      <c r="AG244" s="116" t="s">
        <v>1450</v>
      </c>
      <c r="AH244" s="116" t="s">
        <v>1451</v>
      </c>
      <c r="AI244" s="116" t="s">
        <v>108</v>
      </c>
      <c r="AJ244" s="116" t="s">
        <v>1452</v>
      </c>
      <c r="AK244" s="116" t="s">
        <v>120</v>
      </c>
      <c r="AL244" s="116" t="s">
        <v>129</v>
      </c>
      <c r="AM244" s="116" t="s">
        <v>431</v>
      </c>
      <c r="AN244" s="116"/>
      <c r="AO244" s="120">
        <v>43411</v>
      </c>
      <c r="AP244" s="116" t="s">
        <v>111</v>
      </c>
      <c r="AQ244" s="116">
        <v>33</v>
      </c>
      <c r="AR244" s="125"/>
      <c r="AS244" s="122">
        <v>43405</v>
      </c>
      <c r="AT244" s="123"/>
      <c r="AU244" s="116"/>
      <c r="AV244" s="124"/>
      <c r="AW244" s="123"/>
      <c r="AX244" s="116" t="s">
        <v>1451</v>
      </c>
    </row>
    <row r="245" spans="1:50" ht="15" hidden="1">
      <c r="A245" s="116" t="s">
        <v>1859</v>
      </c>
      <c r="B245" s="116" t="s">
        <v>90</v>
      </c>
      <c r="C245" s="116" t="s">
        <v>91</v>
      </c>
      <c r="D245" s="117">
        <v>0</v>
      </c>
      <c r="E245" s="118">
        <v>1084.18</v>
      </c>
      <c r="F245" s="118">
        <v>0</v>
      </c>
      <c r="G245" s="118">
        <v>0</v>
      </c>
      <c r="H245" s="118">
        <v>1807.18</v>
      </c>
      <c r="I245" s="118">
        <v>271.08</v>
      </c>
      <c r="J245" s="118">
        <v>0</v>
      </c>
      <c r="K245" s="118">
        <v>0</v>
      </c>
      <c r="L245" s="118">
        <v>0</v>
      </c>
      <c r="M245" s="118">
        <v>0</v>
      </c>
      <c r="N245" s="118">
        <v>2078.2600000000002</v>
      </c>
      <c r="O245" s="119">
        <v>1807.18</v>
      </c>
      <c r="P245" s="119">
        <v>0</v>
      </c>
      <c r="Q245" s="119">
        <v>0</v>
      </c>
      <c r="R245" s="119">
        <v>0</v>
      </c>
      <c r="S245" s="119">
        <v>0</v>
      </c>
      <c r="T245" s="116" t="s">
        <v>1340</v>
      </c>
      <c r="U245" s="116" t="s">
        <v>92</v>
      </c>
      <c r="V245" s="116" t="s">
        <v>302</v>
      </c>
      <c r="W245" s="116">
        <v>20180507</v>
      </c>
      <c r="X245" s="116">
        <v>20181230</v>
      </c>
      <c r="Y245" s="116"/>
      <c r="Z245" s="116" t="s">
        <v>922</v>
      </c>
      <c r="AA245" s="116" t="s">
        <v>105</v>
      </c>
      <c r="AB245" s="116" t="s">
        <v>1732</v>
      </c>
      <c r="AC245" s="116" t="s">
        <v>106</v>
      </c>
      <c r="AD245" s="116">
        <v>2013</v>
      </c>
      <c r="AE245" s="116" t="s">
        <v>381</v>
      </c>
      <c r="AF245" s="116" t="s">
        <v>1733</v>
      </c>
      <c r="AG245" s="116" t="s">
        <v>1748</v>
      </c>
      <c r="AH245" s="116" t="s">
        <v>1749</v>
      </c>
      <c r="AI245" s="116" t="s">
        <v>119</v>
      </c>
      <c r="AJ245" s="116" t="s">
        <v>1750</v>
      </c>
      <c r="AK245" s="116" t="s">
        <v>109</v>
      </c>
      <c r="AL245" s="116" t="s">
        <v>129</v>
      </c>
      <c r="AM245" s="116" t="s">
        <v>762</v>
      </c>
      <c r="AN245" s="116"/>
      <c r="AO245" s="120">
        <v>43411</v>
      </c>
      <c r="AP245" s="116" t="s">
        <v>111</v>
      </c>
      <c r="AQ245" s="116">
        <v>33</v>
      </c>
      <c r="AR245" s="123"/>
      <c r="AS245" s="122">
        <v>43405</v>
      </c>
      <c r="AT245" s="123"/>
      <c r="AU245" s="116"/>
      <c r="AV245" s="124"/>
      <c r="AW245" s="123"/>
      <c r="AX245" s="116" t="s">
        <v>1749</v>
      </c>
    </row>
    <row r="246" spans="1:50" ht="15" hidden="1">
      <c r="A246" s="116" t="s">
        <v>1859</v>
      </c>
      <c r="B246" s="116" t="s">
        <v>90</v>
      </c>
      <c r="C246" s="116" t="s">
        <v>91</v>
      </c>
      <c r="D246" s="117">
        <v>0</v>
      </c>
      <c r="E246" s="118">
        <v>0</v>
      </c>
      <c r="F246" s="118">
        <v>0</v>
      </c>
      <c r="G246" s="118">
        <v>0</v>
      </c>
      <c r="H246" s="118">
        <v>0</v>
      </c>
      <c r="I246" s="118">
        <v>4625.7700000000004</v>
      </c>
      <c r="J246" s="118">
        <v>0</v>
      </c>
      <c r="K246" s="118">
        <v>-15658</v>
      </c>
      <c r="L246" s="118">
        <v>0</v>
      </c>
      <c r="M246" s="118">
        <v>43429.79</v>
      </c>
      <c r="N246" s="118">
        <v>32397.56</v>
      </c>
      <c r="O246" s="119">
        <v>0</v>
      </c>
      <c r="P246" s="119">
        <v>0</v>
      </c>
      <c r="Q246" s="119">
        <v>0</v>
      </c>
      <c r="R246" s="119">
        <v>0</v>
      </c>
      <c r="S246" s="119">
        <v>0</v>
      </c>
      <c r="T246" s="116" t="s">
        <v>1343</v>
      </c>
      <c r="U246" s="116" t="s">
        <v>92</v>
      </c>
      <c r="V246" s="116" t="s">
        <v>302</v>
      </c>
      <c r="W246" s="116">
        <v>20180507</v>
      </c>
      <c r="X246" s="116">
        <v>20181230</v>
      </c>
      <c r="Y246" s="116"/>
      <c r="Z246" s="116" t="s">
        <v>922</v>
      </c>
      <c r="AA246" s="116" t="s">
        <v>105</v>
      </c>
      <c r="AB246" s="116" t="s">
        <v>923</v>
      </c>
      <c r="AC246" s="116" t="s">
        <v>114</v>
      </c>
      <c r="AD246" s="116">
        <v>2017</v>
      </c>
      <c r="AE246" s="116" t="s">
        <v>96</v>
      </c>
      <c r="AF246" s="116" t="s">
        <v>954</v>
      </c>
      <c r="AG246" s="116" t="s">
        <v>1341</v>
      </c>
      <c r="AH246" s="116" t="s">
        <v>484</v>
      </c>
      <c r="AI246" s="116" t="s">
        <v>108</v>
      </c>
      <c r="AJ246" s="116" t="s">
        <v>1342</v>
      </c>
      <c r="AK246" s="116" t="s">
        <v>210</v>
      </c>
      <c r="AL246" s="116" t="s">
        <v>129</v>
      </c>
      <c r="AM246" s="116" t="s">
        <v>704</v>
      </c>
      <c r="AN246" s="116"/>
      <c r="AO246" s="120">
        <v>43412</v>
      </c>
      <c r="AP246" s="116" t="s">
        <v>111</v>
      </c>
      <c r="AQ246" s="116">
        <v>33</v>
      </c>
      <c r="AR246" s="125"/>
      <c r="AS246" s="122">
        <v>43405</v>
      </c>
      <c r="AT246" s="123"/>
      <c r="AU246" s="116"/>
      <c r="AV246" s="124"/>
      <c r="AW246" s="123"/>
      <c r="AX246" s="116" t="s">
        <v>484</v>
      </c>
    </row>
    <row r="247" spans="1:50" ht="15" hidden="1">
      <c r="A247" s="116" t="s">
        <v>1868</v>
      </c>
      <c r="B247" s="116" t="s">
        <v>90</v>
      </c>
      <c r="C247" s="116" t="s">
        <v>91</v>
      </c>
      <c r="D247" s="117">
        <v>0</v>
      </c>
      <c r="E247" s="118">
        <v>1084.18</v>
      </c>
      <c r="F247" s="118">
        <v>0</v>
      </c>
      <c r="G247" s="118">
        <v>0</v>
      </c>
      <c r="H247" s="118">
        <v>1604</v>
      </c>
      <c r="I247" s="118">
        <v>-2108.1</v>
      </c>
      <c r="J247" s="118">
        <v>0</v>
      </c>
      <c r="K247" s="118">
        <v>-15658</v>
      </c>
      <c r="L247" s="118">
        <v>0</v>
      </c>
      <c r="M247" s="118">
        <v>0</v>
      </c>
      <c r="N247" s="118">
        <v>-16162.1</v>
      </c>
      <c r="O247" s="119">
        <v>1604</v>
      </c>
      <c r="P247" s="119">
        <v>0</v>
      </c>
      <c r="Q247" s="119">
        <v>0</v>
      </c>
      <c r="R247" s="119">
        <v>0</v>
      </c>
      <c r="S247" s="119">
        <v>0</v>
      </c>
      <c r="T247" s="116" t="s">
        <v>1869</v>
      </c>
      <c r="U247" s="116" t="s">
        <v>92</v>
      </c>
      <c r="V247" s="116" t="s">
        <v>303</v>
      </c>
      <c r="W247" s="116">
        <v>20180507</v>
      </c>
      <c r="X247" s="116">
        <v>20181230</v>
      </c>
      <c r="Y247" s="116"/>
      <c r="Z247" s="116" t="s">
        <v>922</v>
      </c>
      <c r="AA247" s="116" t="s">
        <v>105</v>
      </c>
      <c r="AB247" s="116" t="s">
        <v>923</v>
      </c>
      <c r="AC247" s="116" t="s">
        <v>106</v>
      </c>
      <c r="AD247" s="116">
        <v>2017</v>
      </c>
      <c r="AE247" s="116" t="s">
        <v>96</v>
      </c>
      <c r="AF247" s="116" t="s">
        <v>954</v>
      </c>
      <c r="AG247" s="116" t="s">
        <v>1671</v>
      </c>
      <c r="AH247" s="116" t="s">
        <v>1672</v>
      </c>
      <c r="AI247" s="116" t="s">
        <v>108</v>
      </c>
      <c r="AJ247" s="116" t="s">
        <v>1673</v>
      </c>
      <c r="AK247" s="116" t="s">
        <v>109</v>
      </c>
      <c r="AL247" s="116" t="s">
        <v>129</v>
      </c>
      <c r="AM247" s="116" t="s">
        <v>436</v>
      </c>
      <c r="AN247" s="116"/>
      <c r="AO247" s="120">
        <v>43412</v>
      </c>
      <c r="AP247" s="116" t="s">
        <v>111</v>
      </c>
      <c r="AQ247" s="116">
        <v>33</v>
      </c>
      <c r="AR247" s="125"/>
      <c r="AS247" s="122">
        <v>43405</v>
      </c>
      <c r="AT247" s="123"/>
      <c r="AU247" s="116"/>
      <c r="AV247" s="124"/>
      <c r="AW247" s="123"/>
      <c r="AX247" s="116" t="s">
        <v>1672</v>
      </c>
    </row>
    <row r="248" spans="1:50" ht="15.75" hidden="1" customHeight="1">
      <c r="A248" s="116" t="s">
        <v>1873</v>
      </c>
      <c r="B248" s="116" t="s">
        <v>90</v>
      </c>
      <c r="C248" s="116" t="s">
        <v>91</v>
      </c>
      <c r="D248" s="117">
        <v>0</v>
      </c>
      <c r="E248" s="118">
        <v>1102.25</v>
      </c>
      <c r="F248" s="118">
        <v>0</v>
      </c>
      <c r="G248" s="118">
        <v>0</v>
      </c>
      <c r="H248" s="118">
        <v>2520</v>
      </c>
      <c r="I248" s="118">
        <v>378</v>
      </c>
      <c r="J248" s="118">
        <v>0</v>
      </c>
      <c r="K248" s="118">
        <v>0</v>
      </c>
      <c r="L248" s="118">
        <v>0</v>
      </c>
      <c r="M248" s="118">
        <v>0</v>
      </c>
      <c r="N248" s="118">
        <v>2898</v>
      </c>
      <c r="O248" s="119">
        <v>2520</v>
      </c>
      <c r="P248" s="119">
        <v>0</v>
      </c>
      <c r="Q248" s="119">
        <v>0</v>
      </c>
      <c r="R248" s="119">
        <v>0</v>
      </c>
      <c r="S248" s="119">
        <v>0</v>
      </c>
      <c r="T248" s="116" t="s">
        <v>1395</v>
      </c>
      <c r="U248" s="116" t="s">
        <v>92</v>
      </c>
      <c r="V248" s="116" t="s">
        <v>304</v>
      </c>
      <c r="W248" s="116">
        <v>20180507</v>
      </c>
      <c r="X248" s="116">
        <v>20181230</v>
      </c>
      <c r="Y248" s="116"/>
      <c r="Z248" s="116" t="s">
        <v>922</v>
      </c>
      <c r="AA248" s="116" t="s">
        <v>105</v>
      </c>
      <c r="AB248" s="116" t="s">
        <v>923</v>
      </c>
      <c r="AC248" s="116" t="s">
        <v>106</v>
      </c>
      <c r="AD248" s="116">
        <v>2018</v>
      </c>
      <c r="AE248" s="116" t="s">
        <v>96</v>
      </c>
      <c r="AF248" s="116" t="s">
        <v>289</v>
      </c>
      <c r="AG248" s="116" t="s">
        <v>1863</v>
      </c>
      <c r="AH248" s="116"/>
      <c r="AI248" s="116" t="s">
        <v>119</v>
      </c>
      <c r="AJ248" s="126" t="s">
        <v>1864</v>
      </c>
      <c r="AK248" s="116" t="s">
        <v>109</v>
      </c>
      <c r="AL248" s="116" t="s">
        <v>110</v>
      </c>
      <c r="AM248" s="116" t="s">
        <v>390</v>
      </c>
      <c r="AN248" s="116"/>
      <c r="AO248" s="120">
        <v>43412</v>
      </c>
      <c r="AP248" s="116" t="s">
        <v>111</v>
      </c>
      <c r="AQ248" s="116">
        <v>33</v>
      </c>
      <c r="AR248" s="125"/>
      <c r="AS248" s="122">
        <v>43405</v>
      </c>
      <c r="AT248" s="123"/>
      <c r="AU248" s="116"/>
      <c r="AV248" s="124"/>
      <c r="AW248" s="123"/>
      <c r="AX248" s="116"/>
    </row>
    <row r="249" spans="1:50" ht="15" hidden="1">
      <c r="A249" s="116" t="s">
        <v>1876</v>
      </c>
      <c r="B249" s="116" t="s">
        <v>90</v>
      </c>
      <c r="C249" s="116" t="s">
        <v>91</v>
      </c>
      <c r="D249" s="117">
        <v>0</v>
      </c>
      <c r="E249" s="118">
        <v>1644.33</v>
      </c>
      <c r="F249" s="118">
        <v>4282.4799999999996</v>
      </c>
      <c r="G249" s="118">
        <v>4282.4799999999996</v>
      </c>
      <c r="H249" s="118">
        <v>14351.72</v>
      </c>
      <c r="I249" s="118">
        <v>-683.44</v>
      </c>
      <c r="J249" s="118">
        <v>0</v>
      </c>
      <c r="K249" s="118">
        <v>-18908</v>
      </c>
      <c r="L249" s="118">
        <v>0</v>
      </c>
      <c r="M249" s="118">
        <v>0</v>
      </c>
      <c r="N249" s="118">
        <v>-5239.72</v>
      </c>
      <c r="O249" s="119">
        <v>11101.72</v>
      </c>
      <c r="P249" s="119">
        <v>3250</v>
      </c>
      <c r="Q249" s="119">
        <v>0</v>
      </c>
      <c r="R249" s="119">
        <v>0</v>
      </c>
      <c r="S249" s="119">
        <v>0</v>
      </c>
      <c r="T249" s="116" t="s">
        <v>1877</v>
      </c>
      <c r="U249" s="116" t="s">
        <v>92</v>
      </c>
      <c r="V249" s="116" t="s">
        <v>305</v>
      </c>
      <c r="W249" s="116">
        <v>20180507</v>
      </c>
      <c r="X249" s="116">
        <v>20181230</v>
      </c>
      <c r="Y249" s="116"/>
      <c r="Z249" s="116" t="s">
        <v>922</v>
      </c>
      <c r="AA249" s="116" t="s">
        <v>105</v>
      </c>
      <c r="AB249" s="116" t="s">
        <v>923</v>
      </c>
      <c r="AC249" s="116" t="s">
        <v>106</v>
      </c>
      <c r="AD249" s="116">
        <v>2018</v>
      </c>
      <c r="AE249" s="116" t="s">
        <v>96</v>
      </c>
      <c r="AF249" s="116" t="s">
        <v>289</v>
      </c>
      <c r="AG249" s="116" t="s">
        <v>1886</v>
      </c>
      <c r="AH249" s="116" t="s">
        <v>1884</v>
      </c>
      <c r="AI249" s="116" t="s">
        <v>119</v>
      </c>
      <c r="AJ249" s="116" t="s">
        <v>1887</v>
      </c>
      <c r="AK249" s="116" t="s">
        <v>141</v>
      </c>
      <c r="AL249" s="116" t="s">
        <v>129</v>
      </c>
      <c r="AM249" s="116" t="s">
        <v>885</v>
      </c>
      <c r="AN249" s="116"/>
      <c r="AO249" s="120">
        <v>43412</v>
      </c>
      <c r="AP249" s="116" t="s">
        <v>111</v>
      </c>
      <c r="AQ249" s="116">
        <v>33</v>
      </c>
      <c r="AR249" s="123"/>
      <c r="AS249" s="122">
        <v>43405</v>
      </c>
      <c r="AT249" s="123"/>
      <c r="AU249" s="116"/>
      <c r="AV249" s="124"/>
      <c r="AW249" s="123"/>
      <c r="AX249" s="116" t="s">
        <v>1884</v>
      </c>
    </row>
    <row r="250" spans="1:50" ht="15" hidden="1">
      <c r="A250" s="116" t="s">
        <v>1881</v>
      </c>
      <c r="B250" s="116" t="s">
        <v>90</v>
      </c>
      <c r="C250" s="116" t="s">
        <v>91</v>
      </c>
      <c r="D250" s="117">
        <v>0</v>
      </c>
      <c r="E250" s="118">
        <v>1102.25</v>
      </c>
      <c r="F250" s="118">
        <v>0</v>
      </c>
      <c r="G250" s="118">
        <v>0</v>
      </c>
      <c r="H250" s="118">
        <v>0</v>
      </c>
      <c r="I250" s="118">
        <v>-1788.45</v>
      </c>
      <c r="J250" s="118">
        <v>0</v>
      </c>
      <c r="K250" s="118">
        <v>-15658</v>
      </c>
      <c r="L250" s="118">
        <v>0</v>
      </c>
      <c r="M250" s="118">
        <v>3735</v>
      </c>
      <c r="N250" s="118">
        <v>-13711.45</v>
      </c>
      <c r="O250" s="119">
        <v>0</v>
      </c>
      <c r="P250" s="119">
        <v>0</v>
      </c>
      <c r="Q250" s="119">
        <v>0</v>
      </c>
      <c r="R250" s="119">
        <v>0</v>
      </c>
      <c r="S250" s="119">
        <v>0</v>
      </c>
      <c r="T250" s="116" t="s">
        <v>1882</v>
      </c>
      <c r="U250" s="116" t="s">
        <v>92</v>
      </c>
      <c r="V250" s="116" t="s">
        <v>306</v>
      </c>
      <c r="W250" s="116">
        <v>20180507</v>
      </c>
      <c r="X250" s="116">
        <v>20181230</v>
      </c>
      <c r="Y250" s="116"/>
      <c r="Z250" s="116" t="s">
        <v>922</v>
      </c>
      <c r="AA250" s="116" t="s">
        <v>105</v>
      </c>
      <c r="AB250" s="116" t="s">
        <v>1199</v>
      </c>
      <c r="AC250" s="116" t="s">
        <v>106</v>
      </c>
      <c r="AD250" s="116">
        <v>2018</v>
      </c>
      <c r="AE250" s="116" t="s">
        <v>96</v>
      </c>
      <c r="AF250" s="116" t="s">
        <v>400</v>
      </c>
      <c r="AG250" s="116" t="s">
        <v>1799</v>
      </c>
      <c r="AH250" s="116" t="s">
        <v>487</v>
      </c>
      <c r="AI250" s="116" t="s">
        <v>108</v>
      </c>
      <c r="AJ250" s="116" t="s">
        <v>1800</v>
      </c>
      <c r="AK250" s="116" t="s">
        <v>109</v>
      </c>
      <c r="AL250" s="116" t="s">
        <v>129</v>
      </c>
      <c r="AM250" s="116" t="s">
        <v>854</v>
      </c>
      <c r="AN250" s="116"/>
      <c r="AO250" s="120">
        <v>43413</v>
      </c>
      <c r="AP250" s="116" t="s">
        <v>111</v>
      </c>
      <c r="AQ250" s="116">
        <v>33</v>
      </c>
      <c r="AR250" s="125"/>
      <c r="AS250" s="122">
        <v>43405</v>
      </c>
      <c r="AT250" s="123"/>
      <c r="AU250" s="116"/>
      <c r="AV250" s="124"/>
      <c r="AW250" s="123"/>
      <c r="AX250" s="116" t="s">
        <v>487</v>
      </c>
    </row>
    <row r="251" spans="1:50" ht="15" hidden="1">
      <c r="A251" s="116" t="s">
        <v>1881</v>
      </c>
      <c r="B251" s="116" t="s">
        <v>90</v>
      </c>
      <c r="C251" s="116" t="s">
        <v>91</v>
      </c>
      <c r="D251" s="117">
        <v>0</v>
      </c>
      <c r="E251" s="118">
        <v>0</v>
      </c>
      <c r="F251" s="118">
        <v>0</v>
      </c>
      <c r="G251" s="118">
        <v>0</v>
      </c>
      <c r="H251" s="118">
        <v>15658</v>
      </c>
      <c r="I251" s="118">
        <v>2348.6999999999998</v>
      </c>
      <c r="J251" s="118">
        <v>0</v>
      </c>
      <c r="K251" s="118">
        <v>0</v>
      </c>
      <c r="L251" s="118">
        <v>0</v>
      </c>
      <c r="M251" s="118">
        <v>0</v>
      </c>
      <c r="N251" s="118">
        <v>18006.7</v>
      </c>
      <c r="O251" s="119">
        <v>0</v>
      </c>
      <c r="P251" s="119">
        <v>0</v>
      </c>
      <c r="Q251" s="119">
        <v>0</v>
      </c>
      <c r="R251" s="119">
        <v>15658</v>
      </c>
      <c r="S251" s="119">
        <v>0</v>
      </c>
      <c r="T251" s="116" t="s">
        <v>1340</v>
      </c>
      <c r="U251" s="116" t="s">
        <v>92</v>
      </c>
      <c r="V251" s="116" t="s">
        <v>306</v>
      </c>
      <c r="W251" s="116">
        <v>20180507</v>
      </c>
      <c r="X251" s="116">
        <v>20181230</v>
      </c>
      <c r="Y251" s="116"/>
      <c r="Z251" s="116" t="s">
        <v>922</v>
      </c>
      <c r="AA251" s="116" t="s">
        <v>105</v>
      </c>
      <c r="AB251" s="116" t="s">
        <v>923</v>
      </c>
      <c r="AC251" s="116" t="s">
        <v>101</v>
      </c>
      <c r="AD251" s="116">
        <v>2016</v>
      </c>
      <c r="AE251" s="116" t="s">
        <v>96</v>
      </c>
      <c r="AF251" s="116" t="s">
        <v>954</v>
      </c>
      <c r="AG251" s="116" t="s">
        <v>1095</v>
      </c>
      <c r="AH251" s="116" t="s">
        <v>1096</v>
      </c>
      <c r="AI251" s="116" t="s">
        <v>162</v>
      </c>
      <c r="AJ251" s="116" t="s">
        <v>1097</v>
      </c>
      <c r="AK251" s="116" t="s">
        <v>320</v>
      </c>
      <c r="AL251" s="116" t="s">
        <v>129</v>
      </c>
      <c r="AM251" s="116" t="s">
        <v>606</v>
      </c>
      <c r="AN251" s="116"/>
      <c r="AO251" s="120">
        <v>43416</v>
      </c>
      <c r="AP251" s="116" t="s">
        <v>111</v>
      </c>
      <c r="AQ251" s="116">
        <v>33</v>
      </c>
      <c r="AR251" s="125"/>
      <c r="AS251" s="122">
        <v>43405</v>
      </c>
      <c r="AT251" s="123"/>
      <c r="AU251" s="116"/>
      <c r="AV251" s="124"/>
      <c r="AW251" s="123"/>
      <c r="AX251" s="116" t="s">
        <v>1096</v>
      </c>
    </row>
    <row r="252" spans="1:50" ht="15" hidden="1">
      <c r="A252" s="116" t="s">
        <v>1888</v>
      </c>
      <c r="B252" s="116" t="s">
        <v>90</v>
      </c>
      <c r="C252" s="116" t="s">
        <v>91</v>
      </c>
      <c r="D252" s="117">
        <v>0</v>
      </c>
      <c r="E252" s="118">
        <v>1084.18</v>
      </c>
      <c r="F252" s="118">
        <v>0</v>
      </c>
      <c r="G252" s="118">
        <v>0</v>
      </c>
      <c r="H252" s="118">
        <v>480.33</v>
      </c>
      <c r="I252" s="118">
        <v>410.29</v>
      </c>
      <c r="J252" s="118">
        <v>0</v>
      </c>
      <c r="K252" s="118">
        <v>-192.06</v>
      </c>
      <c r="L252" s="118">
        <v>0</v>
      </c>
      <c r="M252" s="118">
        <v>2447</v>
      </c>
      <c r="N252" s="118">
        <v>3145.56</v>
      </c>
      <c r="O252" s="119">
        <v>480.33</v>
      </c>
      <c r="P252" s="119">
        <v>0</v>
      </c>
      <c r="Q252" s="119">
        <v>0</v>
      </c>
      <c r="R252" s="119">
        <v>0</v>
      </c>
      <c r="S252" s="119">
        <v>0</v>
      </c>
      <c r="T252" s="116" t="s">
        <v>1094</v>
      </c>
      <c r="U252" s="116" t="s">
        <v>92</v>
      </c>
      <c r="V252" s="116" t="s">
        <v>307</v>
      </c>
      <c r="W252" s="116">
        <v>20180507</v>
      </c>
      <c r="X252" s="116">
        <v>20181230</v>
      </c>
      <c r="Y252" s="116"/>
      <c r="Z252" s="116" t="s">
        <v>922</v>
      </c>
      <c r="AA252" s="116" t="s">
        <v>105</v>
      </c>
      <c r="AB252" s="116" t="s">
        <v>923</v>
      </c>
      <c r="AC252" s="116" t="s">
        <v>106</v>
      </c>
      <c r="AD252" s="116">
        <v>2018</v>
      </c>
      <c r="AE252" s="116" t="s">
        <v>96</v>
      </c>
      <c r="AF252" s="116" t="s">
        <v>289</v>
      </c>
      <c r="AG252" s="116" t="s">
        <v>1889</v>
      </c>
      <c r="AH252" s="116"/>
      <c r="AI252" s="116" t="s">
        <v>108</v>
      </c>
      <c r="AJ252" s="116" t="s">
        <v>1890</v>
      </c>
      <c r="AK252" s="116" t="s">
        <v>183</v>
      </c>
      <c r="AL252" s="116" t="s">
        <v>110</v>
      </c>
      <c r="AM252" s="116" t="s">
        <v>462</v>
      </c>
      <c r="AN252" s="116"/>
      <c r="AO252" s="120">
        <v>43416</v>
      </c>
      <c r="AP252" s="116" t="s">
        <v>111</v>
      </c>
      <c r="AQ252" s="116">
        <v>33</v>
      </c>
      <c r="AR252" s="123"/>
      <c r="AS252" s="122">
        <v>43405</v>
      </c>
      <c r="AT252" s="123"/>
      <c r="AU252" s="116"/>
      <c r="AV252" s="124"/>
      <c r="AW252" s="123"/>
      <c r="AX252" s="116"/>
    </row>
    <row r="253" spans="1:50" ht="15" hidden="1">
      <c r="A253" s="116" t="s">
        <v>1891</v>
      </c>
      <c r="B253" s="116" t="s">
        <v>90</v>
      </c>
      <c r="C253" s="116" t="s">
        <v>91</v>
      </c>
      <c r="D253" s="117">
        <v>0</v>
      </c>
      <c r="E253" s="118">
        <v>542.09</v>
      </c>
      <c r="F253" s="118">
        <v>0</v>
      </c>
      <c r="G253" s="118">
        <v>0</v>
      </c>
      <c r="H253" s="118">
        <v>0</v>
      </c>
      <c r="I253" s="118">
        <v>478.07</v>
      </c>
      <c r="J253" s="118">
        <v>0</v>
      </c>
      <c r="K253" s="118">
        <v>0</v>
      </c>
      <c r="L253" s="118">
        <v>0</v>
      </c>
      <c r="M253" s="118">
        <v>3187.11</v>
      </c>
      <c r="N253" s="118">
        <v>3665.18</v>
      </c>
      <c r="O253" s="119">
        <v>0</v>
      </c>
      <c r="P253" s="119">
        <v>0</v>
      </c>
      <c r="Q253" s="119">
        <v>0</v>
      </c>
      <c r="R253" s="119">
        <v>0</v>
      </c>
      <c r="S253" s="119">
        <v>0</v>
      </c>
      <c r="T253" s="116" t="s">
        <v>1892</v>
      </c>
      <c r="U253" s="116" t="s">
        <v>92</v>
      </c>
      <c r="V253" s="116" t="s">
        <v>308</v>
      </c>
      <c r="W253" s="116">
        <v>20180507</v>
      </c>
      <c r="X253" s="116">
        <v>20181230</v>
      </c>
      <c r="Y253" s="116"/>
      <c r="Z253" s="116" t="s">
        <v>922</v>
      </c>
      <c r="AA253" s="116" t="s">
        <v>105</v>
      </c>
      <c r="AB253" s="116" t="s">
        <v>923</v>
      </c>
      <c r="AC253" s="116" t="s">
        <v>114</v>
      </c>
      <c r="AD253" s="116">
        <v>2017</v>
      </c>
      <c r="AE253" s="116" t="s">
        <v>96</v>
      </c>
      <c r="AF253" s="116" t="s">
        <v>954</v>
      </c>
      <c r="AG253" s="116" t="s">
        <v>1352</v>
      </c>
      <c r="AH253" s="116" t="s">
        <v>1349</v>
      </c>
      <c r="AI253" s="116" t="s">
        <v>108</v>
      </c>
      <c r="AJ253" s="116" t="s">
        <v>1353</v>
      </c>
      <c r="AK253" s="116" t="s">
        <v>210</v>
      </c>
      <c r="AL253" s="116" t="s">
        <v>129</v>
      </c>
      <c r="AM253" s="116" t="s">
        <v>378</v>
      </c>
      <c r="AN253" s="116"/>
      <c r="AO253" s="120">
        <v>43417</v>
      </c>
      <c r="AP253" s="116" t="s">
        <v>111</v>
      </c>
      <c r="AQ253" s="116">
        <v>33</v>
      </c>
      <c r="AR253" s="125"/>
      <c r="AS253" s="122">
        <v>43405</v>
      </c>
      <c r="AT253" s="123"/>
      <c r="AU253" s="116"/>
      <c r="AV253" s="124"/>
      <c r="AW253" s="123"/>
      <c r="AX253" s="116" t="s">
        <v>1349</v>
      </c>
    </row>
    <row r="254" spans="1:50" ht="15" hidden="1">
      <c r="A254" s="116" t="s">
        <v>1891</v>
      </c>
      <c r="B254" s="116" t="s">
        <v>90</v>
      </c>
      <c r="C254" s="116" t="s">
        <v>91</v>
      </c>
      <c r="D254" s="117">
        <v>0</v>
      </c>
      <c r="E254" s="118">
        <v>542.09</v>
      </c>
      <c r="F254" s="118">
        <v>0</v>
      </c>
      <c r="G254" s="118">
        <v>0</v>
      </c>
      <c r="H254" s="118">
        <v>3925.73</v>
      </c>
      <c r="I254" s="118">
        <v>18835.8</v>
      </c>
      <c r="J254" s="118">
        <v>0</v>
      </c>
      <c r="K254" s="118">
        <v>0</v>
      </c>
      <c r="L254" s="118">
        <v>62582.89</v>
      </c>
      <c r="M254" s="118">
        <v>181009.18</v>
      </c>
      <c r="N254" s="118">
        <v>141187.82</v>
      </c>
      <c r="O254" s="119">
        <v>0</v>
      </c>
      <c r="P254" s="119">
        <v>3925.73</v>
      </c>
      <c r="Q254" s="119">
        <v>0</v>
      </c>
      <c r="R254" s="119">
        <v>0</v>
      </c>
      <c r="S254" s="119">
        <v>0</v>
      </c>
      <c r="T254" s="116" t="s">
        <v>1896</v>
      </c>
      <c r="U254" s="116" t="s">
        <v>92</v>
      </c>
      <c r="V254" s="116" t="s">
        <v>308</v>
      </c>
      <c r="W254" s="116">
        <v>20180507</v>
      </c>
      <c r="X254" s="116">
        <v>20181230</v>
      </c>
      <c r="Y254" s="116"/>
      <c r="Z254" s="116" t="s">
        <v>922</v>
      </c>
      <c r="AA254" s="116" t="s">
        <v>105</v>
      </c>
      <c r="AB254" s="116" t="s">
        <v>923</v>
      </c>
      <c r="AC254" s="116" t="s">
        <v>106</v>
      </c>
      <c r="AD254" s="116">
        <v>2018</v>
      </c>
      <c r="AE254" s="116" t="s">
        <v>96</v>
      </c>
      <c r="AF254" s="116" t="s">
        <v>289</v>
      </c>
      <c r="AG254" s="116" t="s">
        <v>1943</v>
      </c>
      <c r="AH254" s="116" t="s">
        <v>1939</v>
      </c>
      <c r="AI254" s="116" t="s">
        <v>108</v>
      </c>
      <c r="AJ254" s="116" t="s">
        <v>1944</v>
      </c>
      <c r="AK254" s="116" t="s">
        <v>141</v>
      </c>
      <c r="AL254" s="116" t="s">
        <v>129</v>
      </c>
      <c r="AM254" s="116" t="s">
        <v>899</v>
      </c>
      <c r="AN254" s="116"/>
      <c r="AO254" s="120">
        <v>43417</v>
      </c>
      <c r="AP254" s="116" t="s">
        <v>111</v>
      </c>
      <c r="AQ254" s="116">
        <v>33</v>
      </c>
      <c r="AR254" s="125"/>
      <c r="AS254" s="122">
        <v>43405</v>
      </c>
      <c r="AT254" s="123"/>
      <c r="AU254" s="116"/>
      <c r="AV254" s="124"/>
      <c r="AW254" s="123"/>
      <c r="AX254" s="116" t="s">
        <v>1939</v>
      </c>
    </row>
    <row r="255" spans="1:50" ht="15" hidden="1">
      <c r="A255" s="116" t="s">
        <v>1899</v>
      </c>
      <c r="B255" s="116" t="s">
        <v>90</v>
      </c>
      <c r="C255" s="116" t="s">
        <v>91</v>
      </c>
      <c r="D255" s="117">
        <v>0</v>
      </c>
      <c r="E255" s="118">
        <v>1680.47</v>
      </c>
      <c r="F255" s="118">
        <v>0</v>
      </c>
      <c r="G255" s="118">
        <v>0</v>
      </c>
      <c r="H255" s="118">
        <v>0</v>
      </c>
      <c r="I255" s="118">
        <v>-1788.45</v>
      </c>
      <c r="J255" s="118">
        <v>0</v>
      </c>
      <c r="K255" s="118">
        <v>-15658</v>
      </c>
      <c r="L255" s="118">
        <v>0</v>
      </c>
      <c r="M255" s="118">
        <v>3735</v>
      </c>
      <c r="N255" s="118">
        <v>-13711.45</v>
      </c>
      <c r="O255" s="119">
        <v>0</v>
      </c>
      <c r="P255" s="119">
        <v>0</v>
      </c>
      <c r="Q255" s="119">
        <v>0</v>
      </c>
      <c r="R255" s="119">
        <v>0</v>
      </c>
      <c r="S255" s="119">
        <v>0</v>
      </c>
      <c r="T255" s="116" t="s">
        <v>1900</v>
      </c>
      <c r="U255" s="116" t="s">
        <v>92</v>
      </c>
      <c r="V255" s="116" t="s">
        <v>310</v>
      </c>
      <c r="W255" s="116">
        <v>20180507</v>
      </c>
      <c r="X255" s="116">
        <v>20181230</v>
      </c>
      <c r="Y255" s="116"/>
      <c r="Z255" s="116" t="s">
        <v>922</v>
      </c>
      <c r="AA255" s="116" t="s">
        <v>105</v>
      </c>
      <c r="AB255" s="116" t="s">
        <v>923</v>
      </c>
      <c r="AC255" s="116" t="s">
        <v>114</v>
      </c>
      <c r="AD255" s="116">
        <v>2017</v>
      </c>
      <c r="AE255" s="116" t="s">
        <v>96</v>
      </c>
      <c r="AF255" s="116" t="s">
        <v>954</v>
      </c>
      <c r="AG255" s="116" t="s">
        <v>1488</v>
      </c>
      <c r="AH255" s="116" t="s">
        <v>432</v>
      </c>
      <c r="AI255" s="116" t="s">
        <v>119</v>
      </c>
      <c r="AJ255" s="116" t="s">
        <v>1489</v>
      </c>
      <c r="AK255" s="116" t="s">
        <v>210</v>
      </c>
      <c r="AL255" s="116" t="s">
        <v>129</v>
      </c>
      <c r="AM255" s="116" t="s">
        <v>753</v>
      </c>
      <c r="AN255" s="116"/>
      <c r="AO255" s="120">
        <v>43418</v>
      </c>
      <c r="AP255" s="116" t="s">
        <v>111</v>
      </c>
      <c r="AQ255" s="116">
        <v>33</v>
      </c>
      <c r="AR255" s="125"/>
      <c r="AS255" s="122">
        <v>43405</v>
      </c>
      <c r="AT255" s="123"/>
      <c r="AU255" s="116"/>
      <c r="AV255" s="124"/>
      <c r="AW255" s="123"/>
      <c r="AX255" s="116" t="s">
        <v>432</v>
      </c>
    </row>
    <row r="256" spans="1:50" ht="15" hidden="1">
      <c r="A256" s="116" t="s">
        <v>1903</v>
      </c>
      <c r="B256" s="116" t="s">
        <v>90</v>
      </c>
      <c r="C256" s="116" t="s">
        <v>91</v>
      </c>
      <c r="D256" s="117">
        <v>0</v>
      </c>
      <c r="E256" s="118">
        <v>542.09</v>
      </c>
      <c r="F256" s="118">
        <v>0</v>
      </c>
      <c r="G256" s="118">
        <v>0</v>
      </c>
      <c r="H256" s="118">
        <v>0</v>
      </c>
      <c r="I256" s="118">
        <v>-1934.7</v>
      </c>
      <c r="J256" s="118">
        <v>0</v>
      </c>
      <c r="K256" s="118">
        <v>-15658</v>
      </c>
      <c r="L256" s="118">
        <v>0</v>
      </c>
      <c r="M256" s="118">
        <v>0</v>
      </c>
      <c r="N256" s="118">
        <v>-17592.7</v>
      </c>
      <c r="O256" s="119">
        <v>0</v>
      </c>
      <c r="P256" s="119">
        <v>0</v>
      </c>
      <c r="Q256" s="119">
        <v>0</v>
      </c>
      <c r="R256" s="119">
        <v>0</v>
      </c>
      <c r="S256" s="119">
        <v>0</v>
      </c>
      <c r="T256" s="116" t="s">
        <v>1484</v>
      </c>
      <c r="U256" s="116" t="s">
        <v>92</v>
      </c>
      <c r="V256" s="116" t="s">
        <v>311</v>
      </c>
      <c r="W256" s="116">
        <v>20180507</v>
      </c>
      <c r="X256" s="116">
        <v>20181230</v>
      </c>
      <c r="Y256" s="116"/>
      <c r="Z256" s="116" t="s">
        <v>922</v>
      </c>
      <c r="AA256" s="116" t="s">
        <v>105</v>
      </c>
      <c r="AB256" s="116" t="s">
        <v>923</v>
      </c>
      <c r="AC256" s="116" t="s">
        <v>106</v>
      </c>
      <c r="AD256" s="116">
        <v>2018</v>
      </c>
      <c r="AE256" s="116" t="s">
        <v>96</v>
      </c>
      <c r="AF256" s="116" t="s">
        <v>289</v>
      </c>
      <c r="AG256" s="116" t="s">
        <v>1954</v>
      </c>
      <c r="AH256" s="116" t="s">
        <v>1955</v>
      </c>
      <c r="AI256" s="116" t="s">
        <v>162</v>
      </c>
      <c r="AJ256" s="116" t="s">
        <v>1956</v>
      </c>
      <c r="AK256" s="116" t="s">
        <v>109</v>
      </c>
      <c r="AL256" s="116" t="s">
        <v>129</v>
      </c>
      <c r="AM256" s="116" t="s">
        <v>442</v>
      </c>
      <c r="AN256" s="116"/>
      <c r="AO256" s="120">
        <v>43418</v>
      </c>
      <c r="AP256" s="116" t="s">
        <v>111</v>
      </c>
      <c r="AQ256" s="116">
        <v>33</v>
      </c>
      <c r="AR256" s="123"/>
      <c r="AS256" s="122">
        <v>43405</v>
      </c>
      <c r="AT256" s="123"/>
      <c r="AU256" s="116"/>
      <c r="AV256" s="124"/>
      <c r="AW256" s="123"/>
      <c r="AX256" s="116" t="s">
        <v>1955</v>
      </c>
    </row>
    <row r="257" spans="1:50" ht="15" hidden="1">
      <c r="A257" s="116" t="s">
        <v>1906</v>
      </c>
      <c r="B257" s="116" t="s">
        <v>90</v>
      </c>
      <c r="C257" s="116" t="s">
        <v>91</v>
      </c>
      <c r="D257" s="117">
        <v>0</v>
      </c>
      <c r="E257" s="118">
        <v>1662.4</v>
      </c>
      <c r="F257" s="118">
        <v>4282.4799999999996</v>
      </c>
      <c r="G257" s="118">
        <v>4282.4799999999996</v>
      </c>
      <c r="H257" s="118">
        <v>2405.9699999999998</v>
      </c>
      <c r="I257" s="118">
        <v>-1427.55</v>
      </c>
      <c r="J257" s="118">
        <v>0</v>
      </c>
      <c r="K257" s="118">
        <v>-15658</v>
      </c>
      <c r="L257" s="118">
        <v>0</v>
      </c>
      <c r="M257" s="118">
        <v>3735</v>
      </c>
      <c r="N257" s="118">
        <v>-10944.58</v>
      </c>
      <c r="O257" s="119">
        <v>0</v>
      </c>
      <c r="P257" s="119">
        <v>2405.9699999999998</v>
      </c>
      <c r="Q257" s="119">
        <v>0</v>
      </c>
      <c r="R257" s="119">
        <v>0</v>
      </c>
      <c r="S257" s="119">
        <v>0</v>
      </c>
      <c r="T257" s="116" t="s">
        <v>1856</v>
      </c>
      <c r="U257" s="116" t="s">
        <v>92</v>
      </c>
      <c r="V257" s="116" t="s">
        <v>316</v>
      </c>
      <c r="W257" s="116">
        <v>20180507</v>
      </c>
      <c r="X257" s="116">
        <v>20181230</v>
      </c>
      <c r="Y257" s="116"/>
      <c r="Z257" s="116" t="s">
        <v>922</v>
      </c>
      <c r="AA257" s="116" t="s">
        <v>105</v>
      </c>
      <c r="AB257" s="116" t="s">
        <v>923</v>
      </c>
      <c r="AC257" s="116" t="s">
        <v>106</v>
      </c>
      <c r="AD257" s="116">
        <v>2018</v>
      </c>
      <c r="AE257" s="116" t="s">
        <v>96</v>
      </c>
      <c r="AF257" s="116" t="s">
        <v>289</v>
      </c>
      <c r="AG257" s="116" t="s">
        <v>1960</v>
      </c>
      <c r="AH257" s="116" t="s">
        <v>1961</v>
      </c>
      <c r="AI257" s="116" t="s">
        <v>162</v>
      </c>
      <c r="AJ257" s="116" t="s">
        <v>1962</v>
      </c>
      <c r="AK257" s="116" t="s">
        <v>109</v>
      </c>
      <c r="AL257" s="116" t="s">
        <v>129</v>
      </c>
      <c r="AM257" s="116" t="s">
        <v>903</v>
      </c>
      <c r="AN257" s="116"/>
      <c r="AO257" s="120">
        <v>43418</v>
      </c>
      <c r="AP257" s="116" t="s">
        <v>111</v>
      </c>
      <c r="AQ257" s="116">
        <v>33</v>
      </c>
      <c r="AR257" s="123"/>
      <c r="AS257" s="122">
        <v>43405</v>
      </c>
      <c r="AT257" s="123"/>
      <c r="AU257" s="116"/>
      <c r="AV257" s="124"/>
      <c r="AW257" s="123"/>
      <c r="AX257" s="116" t="s">
        <v>1961</v>
      </c>
    </row>
    <row r="258" spans="1:50" ht="15" hidden="1">
      <c r="A258" s="116" t="s">
        <v>1910</v>
      </c>
      <c r="B258" s="116" t="s">
        <v>90</v>
      </c>
      <c r="C258" s="116" t="s">
        <v>91</v>
      </c>
      <c r="D258" s="117">
        <v>0</v>
      </c>
      <c r="E258" s="118">
        <v>1102.25</v>
      </c>
      <c r="F258" s="118">
        <v>0</v>
      </c>
      <c r="G258" s="118">
        <v>0</v>
      </c>
      <c r="H258" s="118">
        <v>1500</v>
      </c>
      <c r="I258" s="118">
        <v>-1338.45</v>
      </c>
      <c r="J258" s="118">
        <v>0</v>
      </c>
      <c r="K258" s="118">
        <v>-15658</v>
      </c>
      <c r="L258" s="118">
        <v>0</v>
      </c>
      <c r="M258" s="118">
        <v>5235</v>
      </c>
      <c r="N258" s="118">
        <v>-10261.450000000001</v>
      </c>
      <c r="O258" s="119">
        <v>0</v>
      </c>
      <c r="P258" s="119">
        <v>1500</v>
      </c>
      <c r="Q258" s="119">
        <v>0</v>
      </c>
      <c r="R258" s="119">
        <v>0</v>
      </c>
      <c r="S258" s="119">
        <v>0</v>
      </c>
      <c r="T258" s="116" t="s">
        <v>1848</v>
      </c>
      <c r="U258" s="116" t="s">
        <v>92</v>
      </c>
      <c r="V258" s="116" t="s">
        <v>317</v>
      </c>
      <c r="W258" s="116">
        <v>20180507</v>
      </c>
      <c r="X258" s="116">
        <v>20181230</v>
      </c>
      <c r="Y258" s="116"/>
      <c r="Z258" s="116" t="s">
        <v>922</v>
      </c>
      <c r="AA258" s="116" t="s">
        <v>105</v>
      </c>
      <c r="AB258" s="116" t="s">
        <v>923</v>
      </c>
      <c r="AC258" s="116" t="s">
        <v>128</v>
      </c>
      <c r="AD258" s="116">
        <v>2016</v>
      </c>
      <c r="AE258" s="116" t="s">
        <v>96</v>
      </c>
      <c r="AF258" s="116" t="s">
        <v>954</v>
      </c>
      <c r="AG258" s="116" t="s">
        <v>1018</v>
      </c>
      <c r="AH258" s="116" t="s">
        <v>1019</v>
      </c>
      <c r="AI258" s="116" t="s">
        <v>108</v>
      </c>
      <c r="AJ258" s="116" t="s">
        <v>1020</v>
      </c>
      <c r="AK258" s="116" t="s">
        <v>192</v>
      </c>
      <c r="AL258" s="116" t="s">
        <v>129</v>
      </c>
      <c r="AM258" s="116" t="s">
        <v>577</v>
      </c>
      <c r="AN258" s="116"/>
      <c r="AO258" s="120">
        <v>43424</v>
      </c>
      <c r="AP258" s="116" t="s">
        <v>111</v>
      </c>
      <c r="AQ258" s="116">
        <v>33</v>
      </c>
      <c r="AR258" s="125"/>
      <c r="AS258" s="122">
        <v>43405</v>
      </c>
      <c r="AT258" s="123"/>
      <c r="AU258" s="116"/>
      <c r="AV258" s="124"/>
      <c r="AW258" s="123"/>
      <c r="AX258" s="116" t="s">
        <v>1019</v>
      </c>
    </row>
    <row r="259" spans="1:50" ht="15" hidden="1">
      <c r="A259" s="116" t="s">
        <v>1914</v>
      </c>
      <c r="B259" s="116" t="s">
        <v>90</v>
      </c>
      <c r="C259" s="116" t="s">
        <v>91</v>
      </c>
      <c r="D259" s="117">
        <v>0</v>
      </c>
      <c r="E259" s="118">
        <v>542.09</v>
      </c>
      <c r="F259" s="118">
        <v>0</v>
      </c>
      <c r="G259" s="118">
        <v>0</v>
      </c>
      <c r="H259" s="118">
        <v>0</v>
      </c>
      <c r="I259" s="118">
        <v>1164.76</v>
      </c>
      <c r="J259" s="118">
        <v>0</v>
      </c>
      <c r="K259" s="118">
        <v>-15658</v>
      </c>
      <c r="L259" s="118">
        <v>0</v>
      </c>
      <c r="M259" s="118">
        <v>23423.040000000001</v>
      </c>
      <c r="N259" s="118">
        <v>8929.7999999999993</v>
      </c>
      <c r="O259" s="119">
        <v>0</v>
      </c>
      <c r="P259" s="119">
        <v>0</v>
      </c>
      <c r="Q259" s="119">
        <v>0</v>
      </c>
      <c r="R259" s="119">
        <v>0</v>
      </c>
      <c r="S259" s="119">
        <v>0</v>
      </c>
      <c r="T259" s="116" t="s">
        <v>1500</v>
      </c>
      <c r="U259" s="116" t="s">
        <v>92</v>
      </c>
      <c r="V259" s="116" t="s">
        <v>318</v>
      </c>
      <c r="W259" s="116">
        <v>20180507</v>
      </c>
      <c r="X259" s="116">
        <v>20181230</v>
      </c>
      <c r="Y259" s="116"/>
      <c r="Z259" s="116" t="s">
        <v>922</v>
      </c>
      <c r="AA259" s="116" t="s">
        <v>105</v>
      </c>
      <c r="AB259" s="116" t="s">
        <v>923</v>
      </c>
      <c r="AC259" s="116" t="s">
        <v>128</v>
      </c>
      <c r="AD259" s="116">
        <v>2017</v>
      </c>
      <c r="AE259" s="116" t="s">
        <v>96</v>
      </c>
      <c r="AF259" s="116" t="s">
        <v>954</v>
      </c>
      <c r="AG259" s="116" t="s">
        <v>1501</v>
      </c>
      <c r="AH259" s="116" t="s">
        <v>1502</v>
      </c>
      <c r="AI259" s="116" t="s">
        <v>108</v>
      </c>
      <c r="AJ259" s="116" t="s">
        <v>1503</v>
      </c>
      <c r="AK259" s="116" t="s">
        <v>192</v>
      </c>
      <c r="AL259" s="116" t="s">
        <v>129</v>
      </c>
      <c r="AM259" s="116" t="s">
        <v>245</v>
      </c>
      <c r="AN259" s="116"/>
      <c r="AO259" s="120">
        <v>43425</v>
      </c>
      <c r="AP259" s="116" t="s">
        <v>111</v>
      </c>
      <c r="AQ259" s="116">
        <v>33</v>
      </c>
      <c r="AR259" s="125"/>
      <c r="AS259" s="122">
        <v>43405</v>
      </c>
      <c r="AT259" s="123"/>
      <c r="AU259" s="116"/>
      <c r="AV259" s="124"/>
      <c r="AW259" s="123"/>
      <c r="AX259" s="116" t="s">
        <v>1502</v>
      </c>
    </row>
    <row r="260" spans="1:50" ht="15" hidden="1">
      <c r="A260" s="116" t="s">
        <v>1918</v>
      </c>
      <c r="B260" s="116" t="s">
        <v>90</v>
      </c>
      <c r="C260" s="116" t="s">
        <v>91</v>
      </c>
      <c r="D260" s="117">
        <v>0</v>
      </c>
      <c r="E260" s="118">
        <v>560.16</v>
      </c>
      <c r="F260" s="118">
        <v>0</v>
      </c>
      <c r="G260" s="118">
        <v>0</v>
      </c>
      <c r="H260" s="118">
        <v>18045.95</v>
      </c>
      <c r="I260" s="118">
        <v>358.19</v>
      </c>
      <c r="J260" s="118">
        <v>0</v>
      </c>
      <c r="K260" s="118">
        <v>-15658</v>
      </c>
      <c r="L260" s="118">
        <v>0</v>
      </c>
      <c r="M260" s="118">
        <v>0</v>
      </c>
      <c r="N260" s="118">
        <v>2746.14</v>
      </c>
      <c r="O260" s="119">
        <v>18045.95</v>
      </c>
      <c r="P260" s="119">
        <v>0</v>
      </c>
      <c r="Q260" s="119">
        <v>0</v>
      </c>
      <c r="R260" s="119">
        <v>0</v>
      </c>
      <c r="S260" s="119">
        <v>0</v>
      </c>
      <c r="T260" s="116" t="s">
        <v>1919</v>
      </c>
      <c r="U260" s="116" t="s">
        <v>92</v>
      </c>
      <c r="V260" s="116" t="s">
        <v>319</v>
      </c>
      <c r="W260" s="116">
        <v>20180507</v>
      </c>
      <c r="X260" s="116">
        <v>20181230</v>
      </c>
      <c r="Y260" s="116"/>
      <c r="Z260" s="116" t="s">
        <v>922</v>
      </c>
      <c r="AA260" s="116" t="s">
        <v>105</v>
      </c>
      <c r="AB260" s="116" t="s">
        <v>1210</v>
      </c>
      <c r="AC260" s="116" t="s">
        <v>106</v>
      </c>
      <c r="AD260" s="116">
        <v>2018</v>
      </c>
      <c r="AE260" s="116" t="s">
        <v>96</v>
      </c>
      <c r="AF260" s="116" t="s">
        <v>1211</v>
      </c>
      <c r="AG260" s="116" t="s">
        <v>1787</v>
      </c>
      <c r="AH260" s="116" t="s">
        <v>495</v>
      </c>
      <c r="AI260" s="116" t="s">
        <v>108</v>
      </c>
      <c r="AJ260" s="116" t="s">
        <v>967</v>
      </c>
      <c r="AK260" s="116" t="s">
        <v>141</v>
      </c>
      <c r="AL260" s="116" t="s">
        <v>129</v>
      </c>
      <c r="AM260" s="116" t="s">
        <v>483</v>
      </c>
      <c r="AN260" s="116"/>
      <c r="AO260" s="120">
        <v>43425</v>
      </c>
      <c r="AP260" s="116" t="s">
        <v>111</v>
      </c>
      <c r="AQ260" s="116">
        <v>33</v>
      </c>
      <c r="AR260" s="125"/>
      <c r="AS260" s="122">
        <v>43405</v>
      </c>
      <c r="AT260" s="123"/>
      <c r="AU260" s="116"/>
      <c r="AV260" s="124"/>
      <c r="AW260" s="123"/>
      <c r="AX260" s="116" t="s">
        <v>495</v>
      </c>
    </row>
    <row r="261" spans="1:50" ht="15" hidden="1">
      <c r="A261" s="116" t="s">
        <v>1918</v>
      </c>
      <c r="B261" s="116" t="s">
        <v>90</v>
      </c>
      <c r="C261" s="116" t="s">
        <v>91</v>
      </c>
      <c r="D261" s="117">
        <v>0</v>
      </c>
      <c r="E261" s="118">
        <v>542.09</v>
      </c>
      <c r="F261" s="118">
        <v>0</v>
      </c>
      <c r="G261" s="118">
        <v>0</v>
      </c>
      <c r="H261" s="118">
        <v>8382.2900000000009</v>
      </c>
      <c r="I261" s="118">
        <v>357.34</v>
      </c>
      <c r="J261" s="118">
        <v>0</v>
      </c>
      <c r="K261" s="118">
        <v>-6000</v>
      </c>
      <c r="L261" s="118">
        <v>0</v>
      </c>
      <c r="M261" s="118">
        <v>0</v>
      </c>
      <c r="N261" s="118">
        <v>2739.63</v>
      </c>
      <c r="O261" s="119">
        <v>8382.2900000000009</v>
      </c>
      <c r="P261" s="119">
        <v>0</v>
      </c>
      <c r="Q261" s="119">
        <v>0</v>
      </c>
      <c r="R261" s="119">
        <v>0</v>
      </c>
      <c r="S261" s="119">
        <v>0</v>
      </c>
      <c r="T261" s="116" t="s">
        <v>1395</v>
      </c>
      <c r="U261" s="116" t="s">
        <v>92</v>
      </c>
      <c r="V261" s="116" t="s">
        <v>319</v>
      </c>
      <c r="W261" s="116">
        <v>20180507</v>
      </c>
      <c r="X261" s="116">
        <v>20181230</v>
      </c>
      <c r="Y261" s="116"/>
      <c r="Z261" s="116" t="s">
        <v>922</v>
      </c>
      <c r="AA261" s="116" t="s">
        <v>105</v>
      </c>
      <c r="AB261" s="116" t="s">
        <v>923</v>
      </c>
      <c r="AC261" s="116" t="s">
        <v>106</v>
      </c>
      <c r="AD261" s="116">
        <v>2018</v>
      </c>
      <c r="AE261" s="116" t="s">
        <v>96</v>
      </c>
      <c r="AF261" s="116" t="s">
        <v>289</v>
      </c>
      <c r="AG261" s="116" t="s">
        <v>1915</v>
      </c>
      <c r="AH261" s="116" t="s">
        <v>1916</v>
      </c>
      <c r="AI261" s="116" t="s">
        <v>108</v>
      </c>
      <c r="AJ261" s="116" t="s">
        <v>1917</v>
      </c>
      <c r="AK261" s="116" t="s">
        <v>192</v>
      </c>
      <c r="AL261" s="116" t="s">
        <v>129</v>
      </c>
      <c r="AM261" s="116" t="s">
        <v>441</v>
      </c>
      <c r="AN261" s="116"/>
      <c r="AO261" s="120">
        <v>43425</v>
      </c>
      <c r="AP261" s="116" t="s">
        <v>111</v>
      </c>
      <c r="AQ261" s="116">
        <v>33</v>
      </c>
      <c r="AR261" s="125"/>
      <c r="AS261" s="122">
        <v>43405</v>
      </c>
      <c r="AT261" s="123"/>
      <c r="AU261" s="116"/>
      <c r="AV261" s="124"/>
      <c r="AW261" s="123"/>
      <c r="AX261" s="116" t="s">
        <v>1916</v>
      </c>
    </row>
    <row r="262" spans="1:50" ht="15" hidden="1">
      <c r="A262" s="116" t="s">
        <v>1926</v>
      </c>
      <c r="B262" s="116" t="s">
        <v>90</v>
      </c>
      <c r="C262" s="116" t="s">
        <v>91</v>
      </c>
      <c r="D262" s="117">
        <v>0</v>
      </c>
      <c r="E262" s="118">
        <v>1662.4</v>
      </c>
      <c r="F262" s="118">
        <v>4282.4799999999996</v>
      </c>
      <c r="G262" s="118">
        <v>4282.4799999999996</v>
      </c>
      <c r="H262" s="118">
        <v>0</v>
      </c>
      <c r="I262" s="118">
        <v>515.25</v>
      </c>
      <c r="J262" s="118">
        <v>0</v>
      </c>
      <c r="K262" s="118">
        <v>-300</v>
      </c>
      <c r="L262" s="118">
        <v>0</v>
      </c>
      <c r="M262" s="118">
        <v>3735</v>
      </c>
      <c r="N262" s="118">
        <v>3950.25</v>
      </c>
      <c r="O262" s="119">
        <v>0</v>
      </c>
      <c r="P262" s="119">
        <v>0</v>
      </c>
      <c r="Q262" s="119">
        <v>0</v>
      </c>
      <c r="R262" s="119">
        <v>0</v>
      </c>
      <c r="S262" s="119">
        <v>0</v>
      </c>
      <c r="T262" s="116" t="s">
        <v>1927</v>
      </c>
      <c r="U262" s="116" t="s">
        <v>92</v>
      </c>
      <c r="V262" s="116" t="s">
        <v>323</v>
      </c>
      <c r="W262" s="116">
        <v>20180507</v>
      </c>
      <c r="X262" s="116">
        <v>20181230</v>
      </c>
      <c r="Y262" s="116"/>
      <c r="Z262" s="116" t="s">
        <v>922</v>
      </c>
      <c r="AA262" s="116" t="s">
        <v>105</v>
      </c>
      <c r="AB262" s="116" t="s">
        <v>1210</v>
      </c>
      <c r="AC262" s="116" t="s">
        <v>131</v>
      </c>
      <c r="AD262" s="116">
        <v>2016</v>
      </c>
      <c r="AE262" s="116" t="s">
        <v>96</v>
      </c>
      <c r="AF262" s="116" t="s">
        <v>1211</v>
      </c>
      <c r="AG262" s="116" t="s">
        <v>1216</v>
      </c>
      <c r="AH262" s="116" t="s">
        <v>1217</v>
      </c>
      <c r="AI262" s="116" t="s">
        <v>162</v>
      </c>
      <c r="AJ262" s="116" t="s">
        <v>1218</v>
      </c>
      <c r="AK262" s="116" t="s">
        <v>141</v>
      </c>
      <c r="AL262" s="116" t="s">
        <v>129</v>
      </c>
      <c r="AM262" s="116" t="s">
        <v>651</v>
      </c>
      <c r="AN262" s="116"/>
      <c r="AO262" s="120">
        <v>43427</v>
      </c>
      <c r="AP262" s="116" t="s">
        <v>111</v>
      </c>
      <c r="AQ262" s="116">
        <v>33</v>
      </c>
      <c r="AR262" s="125"/>
      <c r="AS262" s="122">
        <v>43405</v>
      </c>
      <c r="AT262" s="123"/>
      <c r="AU262" s="116"/>
      <c r="AV262" s="124"/>
      <c r="AW262" s="123"/>
      <c r="AX262" s="116" t="s">
        <v>1217</v>
      </c>
    </row>
    <row r="263" spans="1:50" ht="15" hidden="1">
      <c r="A263" s="116" t="s">
        <v>1931</v>
      </c>
      <c r="B263" s="116" t="s">
        <v>90</v>
      </c>
      <c r="C263" s="116" t="s">
        <v>91</v>
      </c>
      <c r="D263" s="117">
        <v>0</v>
      </c>
      <c r="E263" s="118">
        <v>1102.25</v>
      </c>
      <c r="F263" s="118">
        <v>4282.4799999999996</v>
      </c>
      <c r="G263" s="118">
        <v>4282.4799999999996</v>
      </c>
      <c r="H263" s="118">
        <v>0</v>
      </c>
      <c r="I263" s="118">
        <v>260.25</v>
      </c>
      <c r="J263" s="118">
        <v>0</v>
      </c>
      <c r="K263" s="118">
        <v>-2000</v>
      </c>
      <c r="L263" s="118">
        <v>0</v>
      </c>
      <c r="M263" s="118">
        <v>3735</v>
      </c>
      <c r="N263" s="118">
        <v>1995.25</v>
      </c>
      <c r="O263" s="119">
        <v>0</v>
      </c>
      <c r="P263" s="119">
        <v>0</v>
      </c>
      <c r="Q263" s="119">
        <v>0</v>
      </c>
      <c r="R263" s="119">
        <v>0</v>
      </c>
      <c r="S263" s="119">
        <v>0</v>
      </c>
      <c r="T263" s="116" t="s">
        <v>1932</v>
      </c>
      <c r="U263" s="116" t="s">
        <v>92</v>
      </c>
      <c r="V263" s="116" t="s">
        <v>325</v>
      </c>
      <c r="W263" s="116">
        <v>20180507</v>
      </c>
      <c r="X263" s="116">
        <v>20181230</v>
      </c>
      <c r="Y263" s="116"/>
      <c r="Z263" s="116" t="s">
        <v>922</v>
      </c>
      <c r="AA263" s="116" t="s">
        <v>105</v>
      </c>
      <c r="AB263" s="116" t="s">
        <v>923</v>
      </c>
      <c r="AC263" s="116" t="s">
        <v>106</v>
      </c>
      <c r="AD263" s="116">
        <v>2017</v>
      </c>
      <c r="AE263" s="116" t="s">
        <v>96</v>
      </c>
      <c r="AF263" s="116" t="s">
        <v>954</v>
      </c>
      <c r="AG263" s="116" t="s">
        <v>1312</v>
      </c>
      <c r="AH263" s="116" t="s">
        <v>1313</v>
      </c>
      <c r="AI263" s="116" t="s">
        <v>119</v>
      </c>
      <c r="AJ263" s="116" t="s">
        <v>1314</v>
      </c>
      <c r="AK263" s="116" t="s">
        <v>109</v>
      </c>
      <c r="AL263" s="116" t="s">
        <v>129</v>
      </c>
      <c r="AM263" s="116" t="s">
        <v>301</v>
      </c>
      <c r="AN263" s="116"/>
      <c r="AO263" s="120">
        <v>43430</v>
      </c>
      <c r="AP263" s="116" t="s">
        <v>111</v>
      </c>
      <c r="AQ263" s="116">
        <v>33</v>
      </c>
      <c r="AR263" s="125"/>
      <c r="AS263" s="122">
        <v>43405</v>
      </c>
      <c r="AT263" s="123"/>
      <c r="AU263" s="116"/>
      <c r="AV263" s="124"/>
      <c r="AW263" s="123"/>
      <c r="AX263" s="116" t="s">
        <v>1313</v>
      </c>
    </row>
    <row r="264" spans="1:50" ht="15" hidden="1">
      <c r="A264" s="116" t="s">
        <v>1936</v>
      </c>
      <c r="B264" s="116" t="s">
        <v>90</v>
      </c>
      <c r="C264" s="116" t="s">
        <v>91</v>
      </c>
      <c r="D264" s="117">
        <v>0</v>
      </c>
      <c r="E264" s="118">
        <v>1680.47</v>
      </c>
      <c r="F264" s="118">
        <v>0</v>
      </c>
      <c r="G264" s="118">
        <v>0</v>
      </c>
      <c r="H264" s="118">
        <v>16532.16</v>
      </c>
      <c r="I264" s="118">
        <v>1363.07</v>
      </c>
      <c r="J264" s="118">
        <v>0</v>
      </c>
      <c r="K264" s="118">
        <v>-7445</v>
      </c>
      <c r="L264" s="118">
        <v>0</v>
      </c>
      <c r="M264" s="118">
        <v>0</v>
      </c>
      <c r="N264" s="118">
        <v>10450.23</v>
      </c>
      <c r="O264" s="119">
        <v>16532.16</v>
      </c>
      <c r="P264" s="119">
        <v>0</v>
      </c>
      <c r="Q264" s="119">
        <v>0</v>
      </c>
      <c r="R264" s="119">
        <v>0</v>
      </c>
      <c r="S264" s="119">
        <v>0</v>
      </c>
      <c r="T264" s="116" t="s">
        <v>1937</v>
      </c>
      <c r="U264" s="116" t="s">
        <v>92</v>
      </c>
      <c r="V264" s="116" t="s">
        <v>326</v>
      </c>
      <c r="W264" s="116">
        <v>20180507</v>
      </c>
      <c r="X264" s="116">
        <v>20181230</v>
      </c>
      <c r="Y264" s="116"/>
      <c r="Z264" s="116" t="s">
        <v>922</v>
      </c>
      <c r="AA264" s="116" t="s">
        <v>105</v>
      </c>
      <c r="AB264" s="116" t="s">
        <v>923</v>
      </c>
      <c r="AC264" s="116" t="s">
        <v>123</v>
      </c>
      <c r="AD264" s="116">
        <v>2017</v>
      </c>
      <c r="AE264" s="116" t="s">
        <v>96</v>
      </c>
      <c r="AF264" s="116" t="s">
        <v>954</v>
      </c>
      <c r="AG264" s="116" t="s">
        <v>1511</v>
      </c>
      <c r="AH264" s="116" t="s">
        <v>1512</v>
      </c>
      <c r="AI264" s="116" t="s">
        <v>108</v>
      </c>
      <c r="AJ264" s="116" t="s">
        <v>1513</v>
      </c>
      <c r="AK264" s="116" t="s">
        <v>258</v>
      </c>
      <c r="AL264" s="116" t="s">
        <v>129</v>
      </c>
      <c r="AM264" s="116" t="s">
        <v>758</v>
      </c>
      <c r="AN264" s="116"/>
      <c r="AO264" s="120">
        <v>43432</v>
      </c>
      <c r="AP264" s="116" t="s">
        <v>111</v>
      </c>
      <c r="AQ264" s="116">
        <v>33</v>
      </c>
      <c r="AR264" s="125"/>
      <c r="AS264" s="122">
        <v>43405</v>
      </c>
      <c r="AT264" s="123"/>
      <c r="AU264" s="116"/>
      <c r="AV264" s="124"/>
      <c r="AW264" s="123"/>
      <c r="AX264" s="116" t="s">
        <v>1512</v>
      </c>
    </row>
    <row r="265" spans="1:50" ht="15" hidden="1">
      <c r="A265" s="116" t="s">
        <v>1936</v>
      </c>
      <c r="B265" s="116" t="s">
        <v>90</v>
      </c>
      <c r="C265" s="116" t="s">
        <v>91</v>
      </c>
      <c r="D265" s="117">
        <v>0</v>
      </c>
      <c r="E265" s="118">
        <v>0</v>
      </c>
      <c r="F265" s="118">
        <v>0</v>
      </c>
      <c r="G265" s="118">
        <v>0</v>
      </c>
      <c r="H265" s="118">
        <v>0</v>
      </c>
      <c r="I265" s="118">
        <v>986.7</v>
      </c>
      <c r="J265" s="118">
        <v>0</v>
      </c>
      <c r="K265" s="118">
        <v>0</v>
      </c>
      <c r="L265" s="118">
        <v>0</v>
      </c>
      <c r="M265" s="118">
        <v>6578</v>
      </c>
      <c r="N265" s="118">
        <v>7564.7</v>
      </c>
      <c r="O265" s="119">
        <v>0</v>
      </c>
      <c r="P265" s="119">
        <v>0</v>
      </c>
      <c r="Q265" s="119">
        <v>0</v>
      </c>
      <c r="R265" s="119">
        <v>0</v>
      </c>
      <c r="S265" s="119">
        <v>0</v>
      </c>
      <c r="T265" s="116" t="s">
        <v>1830</v>
      </c>
      <c r="U265" s="116" t="s">
        <v>92</v>
      </c>
      <c r="V265" s="116" t="s">
        <v>326</v>
      </c>
      <c r="W265" s="116">
        <v>20180507</v>
      </c>
      <c r="X265" s="116">
        <v>20181230</v>
      </c>
      <c r="Y265" s="116"/>
      <c r="Z265" s="116" t="s">
        <v>922</v>
      </c>
      <c r="AA265" s="116" t="s">
        <v>105</v>
      </c>
      <c r="AB265" s="116" t="s">
        <v>923</v>
      </c>
      <c r="AC265" s="116" t="s">
        <v>104</v>
      </c>
      <c r="AD265" s="116">
        <v>2017</v>
      </c>
      <c r="AE265" s="116" t="s">
        <v>96</v>
      </c>
      <c r="AF265" s="116" t="s">
        <v>954</v>
      </c>
      <c r="AG265" s="116" t="s">
        <v>1414</v>
      </c>
      <c r="AH265" s="116" t="s">
        <v>1415</v>
      </c>
      <c r="AI265" s="116" t="s">
        <v>162</v>
      </c>
      <c r="AJ265" s="116" t="s">
        <v>1416</v>
      </c>
      <c r="AK265" s="116" t="s">
        <v>237</v>
      </c>
      <c r="AL265" s="116" t="s">
        <v>129</v>
      </c>
      <c r="AM265" s="116" t="s">
        <v>733</v>
      </c>
      <c r="AN265" s="116"/>
      <c r="AO265" s="120">
        <v>43434</v>
      </c>
      <c r="AP265" s="116" t="s">
        <v>111</v>
      </c>
      <c r="AQ265" s="116">
        <v>33</v>
      </c>
      <c r="AR265" s="125"/>
      <c r="AS265" s="122">
        <v>43405</v>
      </c>
      <c r="AT265" s="123"/>
      <c r="AU265" s="116"/>
      <c r="AV265" s="124"/>
      <c r="AW265" s="123"/>
      <c r="AX265" s="116" t="s">
        <v>1415</v>
      </c>
    </row>
    <row r="266" spans="1:50" ht="15" hidden="1">
      <c r="A266" s="116" t="s">
        <v>1936</v>
      </c>
      <c r="B266" s="116" t="s">
        <v>90</v>
      </c>
      <c r="C266" s="116" t="s">
        <v>91</v>
      </c>
      <c r="D266" s="117">
        <v>0</v>
      </c>
      <c r="E266" s="118">
        <v>542.09</v>
      </c>
      <c r="F266" s="118">
        <v>0</v>
      </c>
      <c r="G266" s="118">
        <v>0</v>
      </c>
      <c r="H266" s="118">
        <v>0</v>
      </c>
      <c r="I266" s="118">
        <v>560.25</v>
      </c>
      <c r="J266" s="118">
        <v>0</v>
      </c>
      <c r="K266" s="118">
        <v>-3000</v>
      </c>
      <c r="L266" s="118">
        <v>0</v>
      </c>
      <c r="M266" s="118">
        <v>6735</v>
      </c>
      <c r="N266" s="118">
        <v>4295.25</v>
      </c>
      <c r="O266" s="119">
        <v>0</v>
      </c>
      <c r="P266" s="119">
        <v>0</v>
      </c>
      <c r="Q266" s="119">
        <v>0</v>
      </c>
      <c r="R266" s="119">
        <v>0</v>
      </c>
      <c r="S266" s="119">
        <v>0</v>
      </c>
      <c r="T266" s="116" t="s">
        <v>1351</v>
      </c>
      <c r="U266" s="116" t="s">
        <v>92</v>
      </c>
      <c r="V266" s="116" t="s">
        <v>326</v>
      </c>
      <c r="W266" s="116">
        <v>20180507</v>
      </c>
      <c r="X266" s="116">
        <v>20181230</v>
      </c>
      <c r="Y266" s="116"/>
      <c r="Z266" s="116" t="s">
        <v>922</v>
      </c>
      <c r="AA266" s="116" t="s">
        <v>105</v>
      </c>
      <c r="AB266" s="116" t="s">
        <v>923</v>
      </c>
      <c r="AC266" s="116" t="s">
        <v>219</v>
      </c>
      <c r="AD266" s="116">
        <v>2017</v>
      </c>
      <c r="AE266" s="116" t="s">
        <v>96</v>
      </c>
      <c r="AF266" s="116" t="s">
        <v>954</v>
      </c>
      <c r="AG266" s="116" t="s">
        <v>1444</v>
      </c>
      <c r="AH266" s="116" t="s">
        <v>938</v>
      </c>
      <c r="AI266" s="116" t="s">
        <v>162</v>
      </c>
      <c r="AJ266" s="116" t="s">
        <v>1445</v>
      </c>
      <c r="AK266" s="116" t="s">
        <v>220</v>
      </c>
      <c r="AL266" s="116" t="s">
        <v>129</v>
      </c>
      <c r="AM266" s="116" t="s">
        <v>741</v>
      </c>
      <c r="AN266" s="116"/>
      <c r="AO266" s="120">
        <v>43434</v>
      </c>
      <c r="AP266" s="116" t="s">
        <v>111</v>
      </c>
      <c r="AQ266" s="116">
        <v>33</v>
      </c>
      <c r="AR266" s="125"/>
      <c r="AS266" s="122">
        <v>43405</v>
      </c>
      <c r="AT266" s="123"/>
      <c r="AU266" s="116"/>
      <c r="AV266" s="124"/>
      <c r="AW266" s="123"/>
      <c r="AX266" s="116" t="s">
        <v>938</v>
      </c>
    </row>
    <row r="267" spans="1:50" ht="15" hidden="1">
      <c r="A267" s="116" t="s">
        <v>1945</v>
      </c>
      <c r="B267" s="116" t="s">
        <v>90</v>
      </c>
      <c r="C267" s="116" t="s">
        <v>91</v>
      </c>
      <c r="D267" s="117">
        <v>0</v>
      </c>
      <c r="E267" s="118">
        <v>542.09</v>
      </c>
      <c r="F267" s="118">
        <v>4282.4799999999996</v>
      </c>
      <c r="G267" s="118">
        <v>4282.4799999999996</v>
      </c>
      <c r="H267" s="118">
        <v>0</v>
      </c>
      <c r="I267" s="118">
        <v>1146.74</v>
      </c>
      <c r="J267" s="118">
        <v>0</v>
      </c>
      <c r="K267" s="118">
        <v>0</v>
      </c>
      <c r="L267" s="118">
        <v>0</v>
      </c>
      <c r="M267" s="118">
        <v>7644.91</v>
      </c>
      <c r="N267" s="118">
        <v>8791.65</v>
      </c>
      <c r="O267" s="119">
        <v>0</v>
      </c>
      <c r="P267" s="119">
        <v>0</v>
      </c>
      <c r="Q267" s="119">
        <v>0</v>
      </c>
      <c r="R267" s="119">
        <v>0</v>
      </c>
      <c r="S267" s="119">
        <v>0</v>
      </c>
      <c r="T267" s="116" t="s">
        <v>1927</v>
      </c>
      <c r="U267" s="116" t="s">
        <v>92</v>
      </c>
      <c r="V267" s="116" t="s">
        <v>1946</v>
      </c>
      <c r="W267" s="116">
        <v>20180507</v>
      </c>
      <c r="X267" s="116">
        <v>20181230</v>
      </c>
      <c r="Y267" s="116"/>
      <c r="Z267" s="116" t="s">
        <v>922</v>
      </c>
      <c r="AA267" s="116" t="s">
        <v>105</v>
      </c>
      <c r="AB267" s="116" t="s">
        <v>923</v>
      </c>
      <c r="AC267" s="116" t="s">
        <v>114</v>
      </c>
      <c r="AD267" s="116">
        <v>2017</v>
      </c>
      <c r="AE267" s="116" t="s">
        <v>96</v>
      </c>
      <c r="AF267" s="116" t="s">
        <v>954</v>
      </c>
      <c r="AG267" s="116" t="s">
        <v>1534</v>
      </c>
      <c r="AH267" s="116" t="s">
        <v>1535</v>
      </c>
      <c r="AI267" s="116" t="s">
        <v>108</v>
      </c>
      <c r="AJ267" s="116" t="s">
        <v>129</v>
      </c>
      <c r="AK267" s="116" t="s">
        <v>210</v>
      </c>
      <c r="AL267" s="116" t="s">
        <v>129</v>
      </c>
      <c r="AM267" s="116" t="s">
        <v>766</v>
      </c>
      <c r="AN267" s="116"/>
      <c r="AO267" s="120">
        <v>43436</v>
      </c>
      <c r="AP267" s="116" t="s">
        <v>111</v>
      </c>
      <c r="AQ267" s="116">
        <v>33</v>
      </c>
      <c r="AR267" s="125"/>
      <c r="AS267" s="122">
        <v>43435</v>
      </c>
      <c r="AT267" s="123"/>
      <c r="AU267" s="116"/>
      <c r="AV267" s="124"/>
      <c r="AW267" s="123"/>
      <c r="AX267" s="116" t="s">
        <v>1535</v>
      </c>
    </row>
    <row r="268" spans="1:50" ht="15" hidden="1">
      <c r="A268" s="116" t="s">
        <v>1945</v>
      </c>
      <c r="B268" s="116" t="s">
        <v>90</v>
      </c>
      <c r="C268" s="116" t="s">
        <v>91</v>
      </c>
      <c r="D268" s="117">
        <v>0</v>
      </c>
      <c r="E268" s="118">
        <v>560.16</v>
      </c>
      <c r="F268" s="118">
        <v>0</v>
      </c>
      <c r="G268" s="118">
        <v>0</v>
      </c>
      <c r="H268" s="118">
        <v>0</v>
      </c>
      <c r="I268" s="118">
        <v>4231.05</v>
      </c>
      <c r="J268" s="118">
        <v>0</v>
      </c>
      <c r="K268" s="118">
        <v>0</v>
      </c>
      <c r="L268" s="118">
        <v>0</v>
      </c>
      <c r="M268" s="118">
        <v>28207</v>
      </c>
      <c r="N268" s="118">
        <v>32438.05</v>
      </c>
      <c r="O268" s="119">
        <v>0</v>
      </c>
      <c r="P268" s="119">
        <v>0</v>
      </c>
      <c r="Q268" s="119">
        <v>0</v>
      </c>
      <c r="R268" s="119">
        <v>0</v>
      </c>
      <c r="S268" s="119">
        <v>0</v>
      </c>
      <c r="T268" s="116" t="s">
        <v>1950</v>
      </c>
      <c r="U268" s="116" t="s">
        <v>92</v>
      </c>
      <c r="V268" s="116" t="s">
        <v>1946</v>
      </c>
      <c r="W268" s="116">
        <v>20180507</v>
      </c>
      <c r="X268" s="116">
        <v>20181230</v>
      </c>
      <c r="Y268" s="116"/>
      <c r="Z268" s="116" t="s">
        <v>922</v>
      </c>
      <c r="AA268" s="116" t="s">
        <v>105</v>
      </c>
      <c r="AB268" s="116" t="s">
        <v>923</v>
      </c>
      <c r="AC268" s="116" t="s">
        <v>106</v>
      </c>
      <c r="AD268" s="116">
        <v>2016</v>
      </c>
      <c r="AE268" s="116" t="s">
        <v>96</v>
      </c>
      <c r="AF268" s="116" t="s">
        <v>954</v>
      </c>
      <c r="AG268" s="116" t="s">
        <v>978</v>
      </c>
      <c r="AH268" s="116" t="s">
        <v>979</v>
      </c>
      <c r="AI268" s="116" t="s">
        <v>108</v>
      </c>
      <c r="AJ268" s="116" t="s">
        <v>980</v>
      </c>
      <c r="AK268" s="116" t="s">
        <v>109</v>
      </c>
      <c r="AL268" s="116" t="s">
        <v>129</v>
      </c>
      <c r="AM268" s="116" t="s">
        <v>566</v>
      </c>
      <c r="AN268" s="116"/>
      <c r="AO268" s="120">
        <v>43437</v>
      </c>
      <c r="AP268" s="116" t="s">
        <v>111</v>
      </c>
      <c r="AQ268" s="116">
        <v>33</v>
      </c>
      <c r="AR268" s="125"/>
      <c r="AS268" s="122">
        <v>43435</v>
      </c>
      <c r="AT268" s="123"/>
      <c r="AU268" s="116"/>
      <c r="AV268" s="124"/>
      <c r="AW268" s="123"/>
      <c r="AX268" s="116" t="s">
        <v>979</v>
      </c>
    </row>
    <row r="269" spans="1:50" ht="15" hidden="1">
      <c r="A269" s="116" t="s">
        <v>1953</v>
      </c>
      <c r="B269" s="116" t="s">
        <v>90</v>
      </c>
      <c r="C269" s="116" t="s">
        <v>91</v>
      </c>
      <c r="D269" s="117">
        <v>0</v>
      </c>
      <c r="E269" s="118">
        <v>542.09</v>
      </c>
      <c r="F269" s="118">
        <v>0</v>
      </c>
      <c r="G269" s="118">
        <v>0</v>
      </c>
      <c r="H269" s="118">
        <v>0</v>
      </c>
      <c r="I269" s="118">
        <v>-1788.45</v>
      </c>
      <c r="J269" s="118">
        <v>0</v>
      </c>
      <c r="K269" s="118">
        <v>-15658</v>
      </c>
      <c r="L269" s="118">
        <v>0</v>
      </c>
      <c r="M269" s="118">
        <v>3735</v>
      </c>
      <c r="N269" s="118">
        <v>-13711.45</v>
      </c>
      <c r="O269" s="119">
        <v>0</v>
      </c>
      <c r="P269" s="119">
        <v>0</v>
      </c>
      <c r="Q269" s="119">
        <v>0</v>
      </c>
      <c r="R269" s="119">
        <v>0</v>
      </c>
      <c r="S269" s="119">
        <v>0</v>
      </c>
      <c r="T269" s="116" t="s">
        <v>1487</v>
      </c>
      <c r="U269" s="116" t="s">
        <v>92</v>
      </c>
      <c r="V269" s="116" t="s">
        <v>327</v>
      </c>
      <c r="W269" s="116">
        <v>20180507</v>
      </c>
      <c r="X269" s="116">
        <v>20181230</v>
      </c>
      <c r="Y269" s="116"/>
      <c r="Z269" s="116" t="s">
        <v>922</v>
      </c>
      <c r="AA269" s="116" t="s">
        <v>105</v>
      </c>
      <c r="AB269" s="116" t="s">
        <v>923</v>
      </c>
      <c r="AC269" s="116" t="s">
        <v>106</v>
      </c>
      <c r="AD269" s="116">
        <v>2018</v>
      </c>
      <c r="AE269" s="116" t="s">
        <v>96</v>
      </c>
      <c r="AF269" s="116" t="s">
        <v>289</v>
      </c>
      <c r="AG269" s="116" t="s">
        <v>1957</v>
      </c>
      <c r="AH269" s="116" t="s">
        <v>1955</v>
      </c>
      <c r="AI269" s="116" t="s">
        <v>108</v>
      </c>
      <c r="AJ269" s="116" t="s">
        <v>1958</v>
      </c>
      <c r="AK269" s="116" t="s">
        <v>109</v>
      </c>
      <c r="AL269" s="116" t="s">
        <v>129</v>
      </c>
      <c r="AM269" s="116" t="s">
        <v>902</v>
      </c>
      <c r="AN269" s="116"/>
      <c r="AO269" s="120">
        <v>43437</v>
      </c>
      <c r="AP269" s="116" t="s">
        <v>111</v>
      </c>
      <c r="AQ269" s="116">
        <v>33</v>
      </c>
      <c r="AR269" s="123"/>
      <c r="AS269" s="122">
        <v>43435</v>
      </c>
      <c r="AT269" s="123"/>
      <c r="AU269" s="116"/>
      <c r="AV269" s="124"/>
      <c r="AW269" s="123"/>
      <c r="AX269" s="116" t="s">
        <v>1955</v>
      </c>
    </row>
    <row r="270" spans="1:50" ht="15" hidden="1">
      <c r="A270" s="116" t="s">
        <v>1953</v>
      </c>
      <c r="B270" s="116" t="s">
        <v>90</v>
      </c>
      <c r="C270" s="116" t="s">
        <v>91</v>
      </c>
      <c r="D270" s="117">
        <v>0</v>
      </c>
      <c r="E270" s="118">
        <v>542.09</v>
      </c>
      <c r="F270" s="118">
        <v>0</v>
      </c>
      <c r="G270" s="118">
        <v>0</v>
      </c>
      <c r="H270" s="118">
        <v>15658</v>
      </c>
      <c r="I270" s="118">
        <v>6639.96</v>
      </c>
      <c r="J270" s="118">
        <v>0</v>
      </c>
      <c r="K270" s="118">
        <v>0</v>
      </c>
      <c r="L270" s="118">
        <v>0</v>
      </c>
      <c r="M270" s="118">
        <v>25158.41</v>
      </c>
      <c r="N270" s="118">
        <v>47456.37</v>
      </c>
      <c r="O270" s="119">
        <v>0</v>
      </c>
      <c r="P270" s="119">
        <v>0</v>
      </c>
      <c r="Q270" s="119">
        <v>0</v>
      </c>
      <c r="R270" s="119">
        <v>15658</v>
      </c>
      <c r="S270" s="119">
        <v>0</v>
      </c>
      <c r="T270" s="116" t="s">
        <v>977</v>
      </c>
      <c r="U270" s="116" t="s">
        <v>92</v>
      </c>
      <c r="V270" s="116" t="s">
        <v>327</v>
      </c>
      <c r="W270" s="116">
        <v>20180507</v>
      </c>
      <c r="X270" s="116">
        <v>20181230</v>
      </c>
      <c r="Y270" s="116"/>
      <c r="Z270" s="116" t="s">
        <v>922</v>
      </c>
      <c r="AA270" s="116" t="s">
        <v>105</v>
      </c>
      <c r="AB270" s="116" t="s">
        <v>923</v>
      </c>
      <c r="AC270" s="116" t="s">
        <v>131</v>
      </c>
      <c r="AD270" s="116">
        <v>2016</v>
      </c>
      <c r="AE270" s="116" t="s">
        <v>96</v>
      </c>
      <c r="AF270" s="116" t="s">
        <v>954</v>
      </c>
      <c r="AG270" s="116" t="s">
        <v>1194</v>
      </c>
      <c r="AH270" s="116" t="s">
        <v>1195</v>
      </c>
      <c r="AI270" s="116" t="s">
        <v>108</v>
      </c>
      <c r="AJ270" s="116" t="s">
        <v>1196</v>
      </c>
      <c r="AK270" s="116" t="s">
        <v>141</v>
      </c>
      <c r="AL270" s="116" t="s">
        <v>129</v>
      </c>
      <c r="AM270" s="116" t="s">
        <v>645</v>
      </c>
      <c r="AN270" s="116"/>
      <c r="AO270" s="120">
        <v>43438</v>
      </c>
      <c r="AP270" s="116" t="s">
        <v>111</v>
      </c>
      <c r="AQ270" s="116">
        <v>33</v>
      </c>
      <c r="AR270" s="125"/>
      <c r="AS270" s="122">
        <v>43435</v>
      </c>
      <c r="AT270" s="123"/>
      <c r="AU270" s="116"/>
      <c r="AV270" s="124"/>
      <c r="AW270" s="123"/>
      <c r="AX270" s="116" t="s">
        <v>1195</v>
      </c>
    </row>
    <row r="271" spans="1:50" ht="15" hidden="1">
      <c r="A271" s="116" t="s">
        <v>1959</v>
      </c>
      <c r="B271" s="116" t="s">
        <v>90</v>
      </c>
      <c r="C271" s="116" t="s">
        <v>91</v>
      </c>
      <c r="D271" s="117">
        <v>0</v>
      </c>
      <c r="E271" s="118">
        <v>542.09</v>
      </c>
      <c r="F271" s="118">
        <v>0</v>
      </c>
      <c r="G271" s="118">
        <v>0</v>
      </c>
      <c r="H271" s="118">
        <v>50883.92</v>
      </c>
      <c r="I271" s="118">
        <v>9251.7900000000009</v>
      </c>
      <c r="J271" s="118">
        <v>0</v>
      </c>
      <c r="K271" s="118">
        <v>0</v>
      </c>
      <c r="L271" s="118">
        <v>0</v>
      </c>
      <c r="M271" s="118">
        <v>0</v>
      </c>
      <c r="N271" s="118">
        <v>60135.71</v>
      </c>
      <c r="O271" s="119">
        <v>50883.92</v>
      </c>
      <c r="P271" s="119">
        <v>0</v>
      </c>
      <c r="Q271" s="119">
        <v>0</v>
      </c>
      <c r="R271" s="119">
        <v>0</v>
      </c>
      <c r="S271" s="119">
        <v>0</v>
      </c>
      <c r="T271" s="116" t="s">
        <v>1487</v>
      </c>
      <c r="U271" s="116" t="s">
        <v>92</v>
      </c>
      <c r="V271" s="116" t="s">
        <v>329</v>
      </c>
      <c r="W271" s="116">
        <v>20180507</v>
      </c>
      <c r="X271" s="116">
        <v>20181230</v>
      </c>
      <c r="Y271" s="116"/>
      <c r="Z271" s="116" t="s">
        <v>922</v>
      </c>
      <c r="AA271" s="116" t="s">
        <v>105</v>
      </c>
      <c r="AB271" s="116" t="s">
        <v>923</v>
      </c>
      <c r="AC271" s="116" t="s">
        <v>106</v>
      </c>
      <c r="AD271" s="116">
        <v>2018</v>
      </c>
      <c r="AE271" s="116" t="s">
        <v>96</v>
      </c>
      <c r="AF271" s="116" t="s">
        <v>289</v>
      </c>
      <c r="AG271" s="116" t="s">
        <v>2009</v>
      </c>
      <c r="AH271" s="116" t="s">
        <v>938</v>
      </c>
      <c r="AI271" s="116" t="s">
        <v>119</v>
      </c>
      <c r="AJ271" s="116" t="s">
        <v>2010</v>
      </c>
      <c r="AK271" s="116" t="s">
        <v>109</v>
      </c>
      <c r="AL271" s="116" t="s">
        <v>129</v>
      </c>
      <c r="AM271" s="116" t="s">
        <v>251</v>
      </c>
      <c r="AN271" s="116"/>
      <c r="AO271" s="120">
        <v>43440</v>
      </c>
      <c r="AP271" s="116" t="s">
        <v>111</v>
      </c>
      <c r="AQ271" s="116">
        <v>33</v>
      </c>
      <c r="AR271" s="123"/>
      <c r="AS271" s="122">
        <v>43435</v>
      </c>
      <c r="AT271" s="123"/>
      <c r="AU271" s="116"/>
      <c r="AV271" s="124"/>
      <c r="AW271" s="123"/>
      <c r="AX271" s="116" t="s">
        <v>938</v>
      </c>
    </row>
    <row r="272" spans="1:50" ht="15" hidden="1">
      <c r="A272" s="116" t="s">
        <v>1963</v>
      </c>
      <c r="B272" s="116" t="s">
        <v>90</v>
      </c>
      <c r="C272" s="116" t="s">
        <v>91</v>
      </c>
      <c r="D272" s="117">
        <v>0</v>
      </c>
      <c r="E272" s="118">
        <v>1600.59</v>
      </c>
      <c r="F272" s="118">
        <v>0</v>
      </c>
      <c r="G272" s="118">
        <v>0</v>
      </c>
      <c r="H272" s="118">
        <v>17389.78</v>
      </c>
      <c r="I272" s="118">
        <v>2608.4699999999998</v>
      </c>
      <c r="J272" s="118">
        <v>0</v>
      </c>
      <c r="K272" s="118">
        <v>0</v>
      </c>
      <c r="L272" s="118">
        <v>0</v>
      </c>
      <c r="M272" s="118">
        <v>0</v>
      </c>
      <c r="N272" s="118">
        <v>19998.25</v>
      </c>
      <c r="O272" s="119">
        <v>17389.78</v>
      </c>
      <c r="P272" s="119">
        <v>0</v>
      </c>
      <c r="Q272" s="119">
        <v>0</v>
      </c>
      <c r="R272" s="119">
        <v>0</v>
      </c>
      <c r="S272" s="119">
        <v>0</v>
      </c>
      <c r="T272" s="116" t="s">
        <v>1830</v>
      </c>
      <c r="U272" s="116" t="s">
        <v>92</v>
      </c>
      <c r="V272" s="116" t="s">
        <v>332</v>
      </c>
      <c r="W272" s="116">
        <v>20180507</v>
      </c>
      <c r="X272" s="116">
        <v>20181230</v>
      </c>
      <c r="Y272" s="116"/>
      <c r="Z272" s="116" t="s">
        <v>922</v>
      </c>
      <c r="AA272" s="116" t="s">
        <v>105</v>
      </c>
      <c r="AB272" s="116" t="s">
        <v>923</v>
      </c>
      <c r="AC272" s="116" t="s">
        <v>114</v>
      </c>
      <c r="AD272" s="116">
        <v>2017</v>
      </c>
      <c r="AE272" s="116" t="s">
        <v>96</v>
      </c>
      <c r="AF272" s="116" t="s">
        <v>954</v>
      </c>
      <c r="AG272" s="116" t="s">
        <v>1454</v>
      </c>
      <c r="AH272" s="116" t="s">
        <v>1451</v>
      </c>
      <c r="AI272" s="116" t="s">
        <v>108</v>
      </c>
      <c r="AJ272" s="116" t="s">
        <v>1455</v>
      </c>
      <c r="AK272" s="116" t="s">
        <v>120</v>
      </c>
      <c r="AL272" s="116" t="s">
        <v>129</v>
      </c>
      <c r="AM272" s="116" t="s">
        <v>744</v>
      </c>
      <c r="AN272" s="116"/>
      <c r="AO272" s="120">
        <v>43444</v>
      </c>
      <c r="AP272" s="116" t="s">
        <v>111</v>
      </c>
      <c r="AQ272" s="116">
        <v>33</v>
      </c>
      <c r="AR272" s="125"/>
      <c r="AS272" s="122">
        <v>43435</v>
      </c>
      <c r="AT272" s="123"/>
      <c r="AU272" s="116"/>
      <c r="AV272" s="124"/>
      <c r="AW272" s="123"/>
      <c r="AX272" s="116" t="s">
        <v>1451</v>
      </c>
    </row>
    <row r="273" spans="1:50" ht="15" hidden="1">
      <c r="A273" s="116" t="s">
        <v>1967</v>
      </c>
      <c r="B273" s="116" t="s">
        <v>90</v>
      </c>
      <c r="C273" s="116" t="s">
        <v>91</v>
      </c>
      <c r="D273" s="117">
        <v>0</v>
      </c>
      <c r="E273" s="118">
        <v>545.26</v>
      </c>
      <c r="F273" s="118">
        <v>0</v>
      </c>
      <c r="G273" s="118">
        <v>0</v>
      </c>
      <c r="H273" s="118">
        <v>3293.13</v>
      </c>
      <c r="I273" s="118">
        <v>493.97</v>
      </c>
      <c r="J273" s="118">
        <v>0</v>
      </c>
      <c r="K273" s="118">
        <v>0</v>
      </c>
      <c r="L273" s="118">
        <v>0</v>
      </c>
      <c r="M273" s="118">
        <v>0</v>
      </c>
      <c r="N273" s="118">
        <v>3787.1</v>
      </c>
      <c r="O273" s="119">
        <v>0</v>
      </c>
      <c r="P273" s="119">
        <v>0</v>
      </c>
      <c r="Q273" s="119">
        <v>0</v>
      </c>
      <c r="R273" s="119">
        <v>3293.13</v>
      </c>
      <c r="S273" s="119">
        <v>0</v>
      </c>
      <c r="T273" s="116" t="s">
        <v>1008</v>
      </c>
      <c r="U273" s="116" t="s">
        <v>92</v>
      </c>
      <c r="V273" s="116" t="s">
        <v>334</v>
      </c>
      <c r="W273" s="116">
        <v>20180507</v>
      </c>
      <c r="X273" s="116">
        <v>20181230</v>
      </c>
      <c r="Y273" s="116"/>
      <c r="Z273" s="116" t="s">
        <v>922</v>
      </c>
      <c r="AA273" s="116" t="s">
        <v>105</v>
      </c>
      <c r="AB273" s="116" t="s">
        <v>923</v>
      </c>
      <c r="AC273" s="116" t="s">
        <v>106</v>
      </c>
      <c r="AD273" s="116">
        <v>2016</v>
      </c>
      <c r="AE273" s="116" t="s">
        <v>96</v>
      </c>
      <c r="AF273" s="116" t="s">
        <v>954</v>
      </c>
      <c r="AG273" s="116" t="s">
        <v>1013</v>
      </c>
      <c r="AH273" s="116" t="s">
        <v>1014</v>
      </c>
      <c r="AI273" s="116" t="s">
        <v>119</v>
      </c>
      <c r="AJ273" s="116" t="s">
        <v>1015</v>
      </c>
      <c r="AK273" s="116" t="s">
        <v>120</v>
      </c>
      <c r="AL273" s="116" t="s">
        <v>129</v>
      </c>
      <c r="AM273" s="116" t="s">
        <v>576</v>
      </c>
      <c r="AN273" s="116"/>
      <c r="AO273" s="120">
        <v>43445</v>
      </c>
      <c r="AP273" s="116" t="s">
        <v>111</v>
      </c>
      <c r="AQ273" s="116">
        <v>33</v>
      </c>
      <c r="AR273" s="125"/>
      <c r="AS273" s="122">
        <v>43435</v>
      </c>
      <c r="AT273" s="123"/>
      <c r="AU273" s="116"/>
      <c r="AV273" s="124"/>
      <c r="AW273" s="123"/>
      <c r="AX273" s="116" t="s">
        <v>1014</v>
      </c>
    </row>
    <row r="274" spans="1:50" ht="15" hidden="1">
      <c r="A274" s="116" t="s">
        <v>1967</v>
      </c>
      <c r="B274" s="116" t="s">
        <v>90</v>
      </c>
      <c r="C274" s="116" t="s">
        <v>91</v>
      </c>
      <c r="D274" s="117">
        <v>0</v>
      </c>
      <c r="E274" s="118">
        <v>1072.92</v>
      </c>
      <c r="F274" s="118">
        <v>0</v>
      </c>
      <c r="G274" s="118">
        <v>0</v>
      </c>
      <c r="H274" s="118">
        <v>8375.86</v>
      </c>
      <c r="I274" s="118">
        <v>2232.54</v>
      </c>
      <c r="J274" s="118">
        <v>0</v>
      </c>
      <c r="K274" s="118">
        <v>0</v>
      </c>
      <c r="L274" s="118">
        <v>0</v>
      </c>
      <c r="M274" s="118">
        <v>6507.76</v>
      </c>
      <c r="N274" s="118">
        <v>17116.16</v>
      </c>
      <c r="O274" s="119">
        <v>0</v>
      </c>
      <c r="P274" s="119">
        <v>0</v>
      </c>
      <c r="Q274" s="119">
        <v>0</v>
      </c>
      <c r="R274" s="119">
        <v>8375.86</v>
      </c>
      <c r="S274" s="119">
        <v>0</v>
      </c>
      <c r="T274" s="116" t="s">
        <v>1811</v>
      </c>
      <c r="U274" s="116" t="s">
        <v>92</v>
      </c>
      <c r="V274" s="116" t="s">
        <v>334</v>
      </c>
      <c r="W274" s="116">
        <v>20180507</v>
      </c>
      <c r="X274" s="116">
        <v>20181230</v>
      </c>
      <c r="Y274" s="116"/>
      <c r="Z274" s="116" t="s">
        <v>922</v>
      </c>
      <c r="AA274" s="116" t="s">
        <v>105</v>
      </c>
      <c r="AB274" s="116" t="s">
        <v>923</v>
      </c>
      <c r="AC274" s="116" t="s">
        <v>106</v>
      </c>
      <c r="AD274" s="116">
        <v>2019</v>
      </c>
      <c r="AE274" s="116" t="s">
        <v>96</v>
      </c>
      <c r="AF274" s="116" t="s">
        <v>368</v>
      </c>
      <c r="AG274" s="116" t="s">
        <v>2012</v>
      </c>
      <c r="AH274" s="116" t="s">
        <v>2013</v>
      </c>
      <c r="AI274" s="116" t="s">
        <v>108</v>
      </c>
      <c r="AJ274" s="116" t="s">
        <v>2014</v>
      </c>
      <c r="AK274" s="116" t="s">
        <v>109</v>
      </c>
      <c r="AL274" s="116" t="s">
        <v>129</v>
      </c>
      <c r="AM274" s="116" t="s">
        <v>918</v>
      </c>
      <c r="AN274" s="116"/>
      <c r="AO274" s="120">
        <v>43445</v>
      </c>
      <c r="AP274" s="116" t="s">
        <v>111</v>
      </c>
      <c r="AQ274" s="116">
        <v>33</v>
      </c>
      <c r="AR274" s="123"/>
      <c r="AS274" s="122">
        <v>43435</v>
      </c>
      <c r="AT274" s="123"/>
      <c r="AU274" s="116"/>
      <c r="AV274" s="124"/>
      <c r="AW274" s="123"/>
      <c r="AX274" s="116" t="s">
        <v>2013</v>
      </c>
    </row>
    <row r="275" spans="1:50" ht="15" hidden="1">
      <c r="A275" s="116" t="s">
        <v>1973</v>
      </c>
      <c r="B275" s="116" t="s">
        <v>90</v>
      </c>
      <c r="C275" s="116" t="s">
        <v>91</v>
      </c>
      <c r="D275" s="117">
        <v>0</v>
      </c>
      <c r="E275" s="118">
        <v>1055.33</v>
      </c>
      <c r="F275" s="118">
        <v>0</v>
      </c>
      <c r="G275" s="118">
        <v>0</v>
      </c>
      <c r="H275" s="118">
        <v>48421.95</v>
      </c>
      <c r="I275" s="118">
        <v>7805.17</v>
      </c>
      <c r="J275" s="118">
        <v>0</v>
      </c>
      <c r="K275" s="118">
        <v>0</v>
      </c>
      <c r="L275" s="118">
        <v>0</v>
      </c>
      <c r="M275" s="118">
        <v>0</v>
      </c>
      <c r="N275" s="118">
        <v>56227.12</v>
      </c>
      <c r="O275" s="119">
        <v>45878.85</v>
      </c>
      <c r="P275" s="119">
        <v>2543.1</v>
      </c>
      <c r="Q275" s="119">
        <v>0</v>
      </c>
      <c r="R275" s="119">
        <v>0</v>
      </c>
      <c r="S275" s="119">
        <v>0</v>
      </c>
      <c r="T275" s="116" t="s">
        <v>1974</v>
      </c>
      <c r="U275" s="116" t="s">
        <v>92</v>
      </c>
      <c r="V275" s="116" t="s">
        <v>335</v>
      </c>
      <c r="W275" s="116">
        <v>20180507</v>
      </c>
      <c r="X275" s="116">
        <v>20181230</v>
      </c>
      <c r="Y275" s="116"/>
      <c r="Z275" s="116" t="s">
        <v>922</v>
      </c>
      <c r="AA275" s="116" t="s">
        <v>105</v>
      </c>
      <c r="AB275" s="116" t="s">
        <v>923</v>
      </c>
      <c r="AC275" s="116" t="s">
        <v>134</v>
      </c>
      <c r="AD275" s="116">
        <v>2016</v>
      </c>
      <c r="AE275" s="116" t="s">
        <v>96</v>
      </c>
      <c r="AF275" s="116" t="s">
        <v>954</v>
      </c>
      <c r="AG275" s="116" t="s">
        <v>1048</v>
      </c>
      <c r="AH275" s="116"/>
      <c r="AI275" s="116" t="s">
        <v>108</v>
      </c>
      <c r="AJ275" s="116" t="s">
        <v>1049</v>
      </c>
      <c r="AK275" s="116" t="s">
        <v>298</v>
      </c>
      <c r="AL275" s="116" t="s">
        <v>110</v>
      </c>
      <c r="AM275" s="116" t="s">
        <v>589</v>
      </c>
      <c r="AN275" s="116"/>
      <c r="AO275" s="120">
        <v>43446</v>
      </c>
      <c r="AP275" s="116" t="s">
        <v>111</v>
      </c>
      <c r="AQ275" s="116">
        <v>33</v>
      </c>
      <c r="AR275" s="125"/>
      <c r="AS275" s="122">
        <v>43435</v>
      </c>
      <c r="AT275" s="123"/>
      <c r="AU275" s="116"/>
      <c r="AV275" s="124"/>
      <c r="AW275" s="123"/>
      <c r="AX275" s="116"/>
    </row>
    <row r="276" spans="1:50" ht="15" hidden="1">
      <c r="A276" s="116" t="s">
        <v>1978</v>
      </c>
      <c r="B276" s="116" t="s">
        <v>90</v>
      </c>
      <c r="C276" s="116" t="s">
        <v>91</v>
      </c>
      <c r="D276" s="117">
        <v>0</v>
      </c>
      <c r="E276" s="118">
        <v>1635.77</v>
      </c>
      <c r="F276" s="118">
        <v>0</v>
      </c>
      <c r="G276" s="118">
        <v>0</v>
      </c>
      <c r="H276" s="118">
        <v>4769.53</v>
      </c>
      <c r="I276" s="118">
        <v>340.43</v>
      </c>
      <c r="J276" s="118">
        <v>0</v>
      </c>
      <c r="K276" s="118">
        <v>-2500</v>
      </c>
      <c r="L276" s="118">
        <v>0</v>
      </c>
      <c r="M276" s="118">
        <v>0</v>
      </c>
      <c r="N276" s="118">
        <v>2609.96</v>
      </c>
      <c r="O276" s="119">
        <v>4769.53</v>
      </c>
      <c r="P276" s="119">
        <v>0</v>
      </c>
      <c r="Q276" s="119">
        <v>0</v>
      </c>
      <c r="R276" s="119">
        <v>0</v>
      </c>
      <c r="S276" s="119">
        <v>0</v>
      </c>
      <c r="T276" s="116" t="s">
        <v>1708</v>
      </c>
      <c r="U276" s="116" t="s">
        <v>92</v>
      </c>
      <c r="V276" s="116" t="s">
        <v>336</v>
      </c>
      <c r="W276" s="116">
        <v>20180507</v>
      </c>
      <c r="X276" s="116">
        <v>20181230</v>
      </c>
      <c r="Y276" s="116"/>
      <c r="Z276" s="116" t="s">
        <v>922</v>
      </c>
      <c r="AA276" s="116" t="s">
        <v>105</v>
      </c>
      <c r="AB276" s="116" t="s">
        <v>923</v>
      </c>
      <c r="AC276" s="116" t="s">
        <v>104</v>
      </c>
      <c r="AD276" s="116">
        <v>2016</v>
      </c>
      <c r="AE276" s="116" t="s">
        <v>96</v>
      </c>
      <c r="AF276" s="116" t="s">
        <v>954</v>
      </c>
      <c r="AG276" s="116" t="s">
        <v>1036</v>
      </c>
      <c r="AH276" s="116" t="s">
        <v>1033</v>
      </c>
      <c r="AI276" s="116" t="s">
        <v>162</v>
      </c>
      <c r="AJ276" s="116" t="s">
        <v>1037</v>
      </c>
      <c r="AK276" s="116" t="s">
        <v>237</v>
      </c>
      <c r="AL276" s="116" t="s">
        <v>129</v>
      </c>
      <c r="AM276" s="116" t="s">
        <v>584</v>
      </c>
      <c r="AN276" s="116"/>
      <c r="AO276" s="120">
        <v>43448</v>
      </c>
      <c r="AP276" s="116" t="s">
        <v>111</v>
      </c>
      <c r="AQ276" s="116">
        <v>33</v>
      </c>
      <c r="AR276" s="125"/>
      <c r="AS276" s="122">
        <v>43435</v>
      </c>
      <c r="AT276" s="123"/>
      <c r="AU276" s="116"/>
      <c r="AV276" s="124"/>
      <c r="AW276" s="123"/>
      <c r="AX276" s="116" t="s">
        <v>1033</v>
      </c>
    </row>
    <row r="277" spans="1:50" ht="15" hidden="1">
      <c r="A277" s="116" t="s">
        <v>1982</v>
      </c>
      <c r="B277" s="116" t="s">
        <v>90</v>
      </c>
      <c r="C277" s="116" t="s">
        <v>91</v>
      </c>
      <c r="D277" s="117">
        <v>0</v>
      </c>
      <c r="E277" s="118">
        <v>1600.59</v>
      </c>
      <c r="F277" s="118">
        <v>0</v>
      </c>
      <c r="G277" s="118">
        <v>0</v>
      </c>
      <c r="H277" s="118">
        <v>452.17</v>
      </c>
      <c r="I277" s="118">
        <v>108.53</v>
      </c>
      <c r="J277" s="118">
        <v>0</v>
      </c>
      <c r="K277" s="118">
        <v>-90.4</v>
      </c>
      <c r="L277" s="118">
        <v>0</v>
      </c>
      <c r="M277" s="118">
        <v>361.77</v>
      </c>
      <c r="N277" s="118">
        <v>832.07</v>
      </c>
      <c r="O277" s="119">
        <v>452.17</v>
      </c>
      <c r="P277" s="119">
        <v>0</v>
      </c>
      <c r="Q277" s="119">
        <v>0</v>
      </c>
      <c r="R277" s="119">
        <v>0</v>
      </c>
      <c r="S277" s="119">
        <v>0</v>
      </c>
      <c r="T277" s="116" t="s">
        <v>1983</v>
      </c>
      <c r="U277" s="116" t="s">
        <v>92</v>
      </c>
      <c r="V277" s="116" t="s">
        <v>337</v>
      </c>
      <c r="W277" s="116">
        <v>20180507</v>
      </c>
      <c r="X277" s="116">
        <v>20181230</v>
      </c>
      <c r="Y277" s="116"/>
      <c r="Z277" s="116" t="s">
        <v>922</v>
      </c>
      <c r="AA277" s="116" t="s">
        <v>105</v>
      </c>
      <c r="AB277" s="116" t="s">
        <v>923</v>
      </c>
      <c r="AC277" s="116" t="s">
        <v>137</v>
      </c>
      <c r="AD277" s="116">
        <v>2017</v>
      </c>
      <c r="AE277" s="116" t="s">
        <v>96</v>
      </c>
      <c r="AF277" s="116" t="s">
        <v>954</v>
      </c>
      <c r="AG277" s="116" t="s">
        <v>1625</v>
      </c>
      <c r="AH277" s="116" t="s">
        <v>1626</v>
      </c>
      <c r="AI277" s="116" t="s">
        <v>162</v>
      </c>
      <c r="AJ277" s="116" t="s">
        <v>1627</v>
      </c>
      <c r="AK277" s="116" t="s">
        <v>468</v>
      </c>
      <c r="AL277" s="116" t="s">
        <v>129</v>
      </c>
      <c r="AM277" s="116" t="s">
        <v>795</v>
      </c>
      <c r="AN277" s="116"/>
      <c r="AO277" s="120">
        <v>43448</v>
      </c>
      <c r="AP277" s="116" t="s">
        <v>111</v>
      </c>
      <c r="AQ277" s="116">
        <v>33</v>
      </c>
      <c r="AR277" s="125"/>
      <c r="AS277" s="122">
        <v>43435</v>
      </c>
      <c r="AT277" s="123"/>
      <c r="AU277" s="116"/>
      <c r="AV277" s="124"/>
      <c r="AW277" s="123"/>
      <c r="AX277" s="116" t="s">
        <v>1626</v>
      </c>
    </row>
    <row r="278" spans="1:50" ht="15" hidden="1">
      <c r="A278" s="116" t="s">
        <v>1986</v>
      </c>
      <c r="B278" s="116" t="s">
        <v>90</v>
      </c>
      <c r="C278" s="116" t="s">
        <v>91</v>
      </c>
      <c r="D278" s="117">
        <v>0</v>
      </c>
      <c r="E278" s="118">
        <v>0</v>
      </c>
      <c r="F278" s="118">
        <v>0</v>
      </c>
      <c r="G278" s="118">
        <v>0</v>
      </c>
      <c r="H278" s="118">
        <v>0</v>
      </c>
      <c r="I278" s="118">
        <v>2238.98</v>
      </c>
      <c r="J278" s="118">
        <v>0</v>
      </c>
      <c r="K278" s="118">
        <v>-7445</v>
      </c>
      <c r="L278" s="118">
        <v>0</v>
      </c>
      <c r="M278" s="118">
        <v>22371.5</v>
      </c>
      <c r="N278" s="118">
        <v>17165.48</v>
      </c>
      <c r="O278" s="119">
        <v>0</v>
      </c>
      <c r="P278" s="119">
        <v>0</v>
      </c>
      <c r="Q278" s="119">
        <v>0</v>
      </c>
      <c r="R278" s="119">
        <v>0</v>
      </c>
      <c r="S278" s="119">
        <v>0</v>
      </c>
      <c r="T278" s="116" t="s">
        <v>1987</v>
      </c>
      <c r="U278" s="116" t="s">
        <v>92</v>
      </c>
      <c r="V278" s="116" t="s">
        <v>342</v>
      </c>
      <c r="W278" s="116">
        <v>20180507</v>
      </c>
      <c r="X278" s="116">
        <v>20181230</v>
      </c>
      <c r="Y278" s="116"/>
      <c r="Z278" s="116" t="s">
        <v>922</v>
      </c>
      <c r="AA278" s="116" t="s">
        <v>105</v>
      </c>
      <c r="AB278" s="116" t="s">
        <v>923</v>
      </c>
      <c r="AC278" s="116" t="s">
        <v>114</v>
      </c>
      <c r="AD278" s="116">
        <v>2017</v>
      </c>
      <c r="AE278" s="116" t="s">
        <v>96</v>
      </c>
      <c r="AF278" s="116" t="s">
        <v>954</v>
      </c>
      <c r="AG278" s="116" t="s">
        <v>1344</v>
      </c>
      <c r="AH278" s="116" t="s">
        <v>484</v>
      </c>
      <c r="AI278" s="116" t="s">
        <v>108</v>
      </c>
      <c r="AJ278" s="116" t="s">
        <v>1345</v>
      </c>
      <c r="AK278" s="116" t="s">
        <v>210</v>
      </c>
      <c r="AL278" s="116" t="s">
        <v>129</v>
      </c>
      <c r="AM278" s="116" t="s">
        <v>705</v>
      </c>
      <c r="AN278" s="116"/>
      <c r="AO278" s="120">
        <v>43449</v>
      </c>
      <c r="AP278" s="116" t="s">
        <v>111</v>
      </c>
      <c r="AQ278" s="116">
        <v>33</v>
      </c>
      <c r="AR278" s="125"/>
      <c r="AS278" s="122">
        <v>43435</v>
      </c>
      <c r="AT278" s="123"/>
      <c r="AU278" s="116"/>
      <c r="AV278" s="124"/>
      <c r="AW278" s="123"/>
      <c r="AX278" s="116" t="s">
        <v>484</v>
      </c>
    </row>
    <row r="279" spans="1:50" ht="15" hidden="1">
      <c r="A279" s="116" t="s">
        <v>1989</v>
      </c>
      <c r="B279" s="116" t="s">
        <v>90</v>
      </c>
      <c r="C279" s="116" t="s">
        <v>91</v>
      </c>
      <c r="D279" s="117">
        <v>0</v>
      </c>
      <c r="E279" s="118">
        <v>1600.59</v>
      </c>
      <c r="F279" s="118">
        <v>0</v>
      </c>
      <c r="G279" s="118">
        <v>0</v>
      </c>
      <c r="H279" s="118">
        <v>5209.99</v>
      </c>
      <c r="I279" s="118">
        <v>781.5</v>
      </c>
      <c r="J279" s="118">
        <v>0</v>
      </c>
      <c r="K279" s="118">
        <v>0</v>
      </c>
      <c r="L279" s="118">
        <v>0</v>
      </c>
      <c r="M279" s="118">
        <v>0</v>
      </c>
      <c r="N279" s="118">
        <v>5991.49</v>
      </c>
      <c r="O279" s="119">
        <v>5209.99</v>
      </c>
      <c r="P279" s="119">
        <v>0</v>
      </c>
      <c r="Q279" s="119">
        <v>0</v>
      </c>
      <c r="R279" s="119">
        <v>0</v>
      </c>
      <c r="S279" s="119">
        <v>0</v>
      </c>
      <c r="T279" s="116" t="s">
        <v>1990</v>
      </c>
      <c r="U279" s="116" t="s">
        <v>92</v>
      </c>
      <c r="V279" s="116" t="s">
        <v>346</v>
      </c>
      <c r="W279" s="116">
        <v>20180507</v>
      </c>
      <c r="X279" s="116">
        <v>20181230</v>
      </c>
      <c r="Y279" s="116"/>
      <c r="Z279" s="116" t="s">
        <v>922</v>
      </c>
      <c r="AA279" s="116" t="s">
        <v>105</v>
      </c>
      <c r="AB279" s="116" t="s">
        <v>923</v>
      </c>
      <c r="AC279" s="116" t="s">
        <v>106</v>
      </c>
      <c r="AD279" s="116">
        <v>2018</v>
      </c>
      <c r="AE279" s="116" t="s">
        <v>96</v>
      </c>
      <c r="AF279" s="116" t="s">
        <v>289</v>
      </c>
      <c r="AG279" s="116" t="s">
        <v>1865</v>
      </c>
      <c r="AH279" s="116" t="s">
        <v>1866</v>
      </c>
      <c r="AI279" s="116" t="s">
        <v>108</v>
      </c>
      <c r="AJ279" s="116" t="s">
        <v>1867</v>
      </c>
      <c r="AK279" s="116" t="s">
        <v>314</v>
      </c>
      <c r="AL279" s="116" t="s">
        <v>129</v>
      </c>
      <c r="AM279" s="116" t="s">
        <v>880</v>
      </c>
      <c r="AN279" s="116"/>
      <c r="AO279" s="120">
        <v>43449</v>
      </c>
      <c r="AP279" s="116" t="s">
        <v>111</v>
      </c>
      <c r="AQ279" s="116">
        <v>33</v>
      </c>
      <c r="AR279" s="125"/>
      <c r="AS279" s="122">
        <v>43435</v>
      </c>
      <c r="AT279" s="123"/>
      <c r="AU279" s="116"/>
      <c r="AV279" s="124"/>
      <c r="AW279" s="123"/>
      <c r="AX279" s="116" t="s">
        <v>1866</v>
      </c>
    </row>
    <row r="280" spans="1:50" ht="15" hidden="1">
      <c r="A280" s="116" t="s">
        <v>1994</v>
      </c>
      <c r="B280" s="116" t="s">
        <v>90</v>
      </c>
      <c r="C280" s="116" t="s">
        <v>91</v>
      </c>
      <c r="D280" s="117">
        <v>0</v>
      </c>
      <c r="E280" s="118">
        <v>1600.59</v>
      </c>
      <c r="F280" s="118">
        <v>0</v>
      </c>
      <c r="G280" s="118">
        <v>0</v>
      </c>
      <c r="H280" s="118">
        <v>600</v>
      </c>
      <c r="I280" s="118">
        <v>90</v>
      </c>
      <c r="J280" s="118">
        <v>0</v>
      </c>
      <c r="K280" s="118">
        <v>0</v>
      </c>
      <c r="L280" s="118">
        <v>0</v>
      </c>
      <c r="M280" s="118">
        <v>0</v>
      </c>
      <c r="N280" s="118">
        <v>690</v>
      </c>
      <c r="O280" s="119">
        <v>600</v>
      </c>
      <c r="P280" s="119">
        <v>0</v>
      </c>
      <c r="Q280" s="119">
        <v>0</v>
      </c>
      <c r="R280" s="119">
        <v>0</v>
      </c>
      <c r="S280" s="119">
        <v>0</v>
      </c>
      <c r="T280" s="116" t="s">
        <v>1995</v>
      </c>
      <c r="U280" s="116" t="s">
        <v>92</v>
      </c>
      <c r="V280" s="116" t="s">
        <v>347</v>
      </c>
      <c r="W280" s="116">
        <v>20180507</v>
      </c>
      <c r="X280" s="116">
        <v>20181230</v>
      </c>
      <c r="Y280" s="116"/>
      <c r="Z280" s="116" t="s">
        <v>922</v>
      </c>
      <c r="AA280" s="116" t="s">
        <v>105</v>
      </c>
      <c r="AB280" s="116" t="s">
        <v>923</v>
      </c>
      <c r="AC280" s="116" t="s">
        <v>114</v>
      </c>
      <c r="AD280" s="116">
        <v>2016</v>
      </c>
      <c r="AE280" s="116" t="s">
        <v>96</v>
      </c>
      <c r="AF280" s="116" t="s">
        <v>954</v>
      </c>
      <c r="AG280" s="116" t="s">
        <v>1082</v>
      </c>
      <c r="AH280" s="116" t="s">
        <v>1083</v>
      </c>
      <c r="AI280" s="116" t="s">
        <v>119</v>
      </c>
      <c r="AJ280" s="116" t="s">
        <v>1084</v>
      </c>
      <c r="AK280" s="116" t="s">
        <v>210</v>
      </c>
      <c r="AL280" s="116" t="s">
        <v>129</v>
      </c>
      <c r="AM280" s="116" t="s">
        <v>569</v>
      </c>
      <c r="AN280" s="116"/>
      <c r="AO280" s="120">
        <v>43451</v>
      </c>
      <c r="AP280" s="116" t="s">
        <v>111</v>
      </c>
      <c r="AQ280" s="116">
        <v>33</v>
      </c>
      <c r="AR280" s="125"/>
      <c r="AS280" s="122">
        <v>43435</v>
      </c>
      <c r="AT280" s="123"/>
      <c r="AU280" s="116"/>
      <c r="AV280" s="124"/>
      <c r="AW280" s="123"/>
      <c r="AX280" s="116" t="s">
        <v>1083</v>
      </c>
    </row>
    <row r="281" spans="1:50" ht="15" hidden="1">
      <c r="A281" s="116" t="s">
        <v>1997</v>
      </c>
      <c r="B281" s="116" t="s">
        <v>90</v>
      </c>
      <c r="C281" s="116" t="s">
        <v>91</v>
      </c>
      <c r="D281" s="117">
        <v>0</v>
      </c>
      <c r="E281" s="118">
        <v>1072.92</v>
      </c>
      <c r="F281" s="118">
        <v>0</v>
      </c>
      <c r="G281" s="118">
        <v>0</v>
      </c>
      <c r="H281" s="118">
        <v>0</v>
      </c>
      <c r="I281" s="118">
        <v>-1788.45</v>
      </c>
      <c r="J281" s="118">
        <v>0</v>
      </c>
      <c r="K281" s="118">
        <v>-15658</v>
      </c>
      <c r="L281" s="118">
        <v>0</v>
      </c>
      <c r="M281" s="118">
        <v>3735</v>
      </c>
      <c r="N281" s="118">
        <v>-13711.45</v>
      </c>
      <c r="O281" s="119">
        <v>0</v>
      </c>
      <c r="P281" s="119">
        <v>0</v>
      </c>
      <c r="Q281" s="119">
        <v>0</v>
      </c>
      <c r="R281" s="119">
        <v>0</v>
      </c>
      <c r="S281" s="119">
        <v>0</v>
      </c>
      <c r="T281" s="116" t="s">
        <v>1515</v>
      </c>
      <c r="U281" s="116" t="s">
        <v>92</v>
      </c>
      <c r="V281" s="116" t="s">
        <v>348</v>
      </c>
      <c r="W281" s="116">
        <v>20180507</v>
      </c>
      <c r="X281" s="116">
        <v>20181230</v>
      </c>
      <c r="Y281" s="116"/>
      <c r="Z281" s="116" t="s">
        <v>922</v>
      </c>
      <c r="AA281" s="116" t="s">
        <v>105</v>
      </c>
      <c r="AB281" s="116" t="s">
        <v>923</v>
      </c>
      <c r="AC281" s="116" t="s">
        <v>131</v>
      </c>
      <c r="AD281" s="116">
        <v>2016</v>
      </c>
      <c r="AE281" s="116" t="s">
        <v>96</v>
      </c>
      <c r="AF281" s="116" t="s">
        <v>954</v>
      </c>
      <c r="AG281" s="116" t="s">
        <v>1060</v>
      </c>
      <c r="AH281" s="116" t="s">
        <v>1061</v>
      </c>
      <c r="AI281" s="116" t="s">
        <v>162</v>
      </c>
      <c r="AJ281" s="116" t="s">
        <v>1062</v>
      </c>
      <c r="AK281" s="116" t="s">
        <v>141</v>
      </c>
      <c r="AL281" s="116" t="s">
        <v>129</v>
      </c>
      <c r="AM281" s="116" t="s">
        <v>594</v>
      </c>
      <c r="AN281" s="116"/>
      <c r="AO281" s="120">
        <v>43454</v>
      </c>
      <c r="AP281" s="116" t="s">
        <v>111</v>
      </c>
      <c r="AQ281" s="116">
        <v>33</v>
      </c>
      <c r="AR281" s="125"/>
      <c r="AS281" s="122">
        <v>43435</v>
      </c>
      <c r="AT281" s="123"/>
      <c r="AU281" s="116"/>
      <c r="AV281" s="124"/>
      <c r="AW281" s="123"/>
      <c r="AX281" s="116" t="s">
        <v>1061</v>
      </c>
    </row>
    <row r="282" spans="1:50" ht="15" hidden="1">
      <c r="A282" s="116" t="s">
        <v>2001</v>
      </c>
      <c r="B282" s="116" t="s">
        <v>90</v>
      </c>
      <c r="C282" s="116" t="s">
        <v>91</v>
      </c>
      <c r="D282" s="117">
        <v>0</v>
      </c>
      <c r="E282" s="118">
        <v>1072.92</v>
      </c>
      <c r="F282" s="118">
        <v>0</v>
      </c>
      <c r="G282" s="118">
        <v>0</v>
      </c>
      <c r="H282" s="118">
        <v>13065.42</v>
      </c>
      <c r="I282" s="118">
        <v>1959.81</v>
      </c>
      <c r="J282" s="118">
        <v>0</v>
      </c>
      <c r="K282" s="118">
        <v>0</v>
      </c>
      <c r="L282" s="118">
        <v>0</v>
      </c>
      <c r="M282" s="118">
        <v>0</v>
      </c>
      <c r="N282" s="118">
        <v>15025.23</v>
      </c>
      <c r="O282" s="119">
        <v>13065.42</v>
      </c>
      <c r="P282" s="119">
        <v>0</v>
      </c>
      <c r="Q282" s="119">
        <v>0</v>
      </c>
      <c r="R282" s="119">
        <v>0</v>
      </c>
      <c r="S282" s="119">
        <v>0</v>
      </c>
      <c r="T282" s="116" t="s">
        <v>1491</v>
      </c>
      <c r="U282" s="116" t="s">
        <v>92</v>
      </c>
      <c r="V282" s="116" t="s">
        <v>349</v>
      </c>
      <c r="W282" s="116">
        <v>20180507</v>
      </c>
      <c r="X282" s="116">
        <v>20181230</v>
      </c>
      <c r="Y282" s="116"/>
      <c r="Z282" s="116" t="s">
        <v>922</v>
      </c>
      <c r="AA282" s="116" t="s">
        <v>105</v>
      </c>
      <c r="AB282" s="116" t="s">
        <v>923</v>
      </c>
      <c r="AC282" s="116" t="s">
        <v>106</v>
      </c>
      <c r="AD282" s="116">
        <v>2017</v>
      </c>
      <c r="AE282" s="116" t="s">
        <v>96</v>
      </c>
      <c r="AF282" s="116" t="s">
        <v>954</v>
      </c>
      <c r="AG282" s="116" t="s">
        <v>1555</v>
      </c>
      <c r="AH282" s="116" t="s">
        <v>1556</v>
      </c>
      <c r="AI282" s="116" t="s">
        <v>162</v>
      </c>
      <c r="AJ282" s="116" t="s">
        <v>1557</v>
      </c>
      <c r="AK282" s="116" t="s">
        <v>120</v>
      </c>
      <c r="AL282" s="116" t="s">
        <v>129</v>
      </c>
      <c r="AM282" s="116" t="s">
        <v>772</v>
      </c>
      <c r="AN282" s="116"/>
      <c r="AO282" s="120">
        <v>43454</v>
      </c>
      <c r="AP282" s="116" t="s">
        <v>111</v>
      </c>
      <c r="AQ282" s="116">
        <v>33</v>
      </c>
      <c r="AR282" s="125"/>
      <c r="AS282" s="122">
        <v>43435</v>
      </c>
      <c r="AT282" s="123"/>
      <c r="AU282" s="116"/>
      <c r="AV282" s="124"/>
      <c r="AW282" s="123"/>
      <c r="AX282" s="116" t="s">
        <v>1556</v>
      </c>
    </row>
    <row r="283" spans="1:50" ht="15" hidden="1">
      <c r="A283" s="116" t="s">
        <v>2004</v>
      </c>
      <c r="B283" s="116" t="s">
        <v>90</v>
      </c>
      <c r="C283" s="116" t="s">
        <v>91</v>
      </c>
      <c r="D283" s="117">
        <v>0</v>
      </c>
      <c r="E283" s="118">
        <v>1055.33</v>
      </c>
      <c r="F283" s="118">
        <v>0</v>
      </c>
      <c r="G283" s="118">
        <v>0</v>
      </c>
      <c r="H283" s="118">
        <v>1260</v>
      </c>
      <c r="I283" s="118">
        <v>189</v>
      </c>
      <c r="J283" s="118">
        <v>0</v>
      </c>
      <c r="K283" s="118">
        <v>0</v>
      </c>
      <c r="L283" s="118">
        <v>0</v>
      </c>
      <c r="M283" s="118">
        <v>0</v>
      </c>
      <c r="N283" s="118">
        <v>1449</v>
      </c>
      <c r="O283" s="119">
        <v>1260</v>
      </c>
      <c r="P283" s="119">
        <v>0</v>
      </c>
      <c r="Q283" s="119">
        <v>0</v>
      </c>
      <c r="R283" s="119">
        <v>0</v>
      </c>
      <c r="S283" s="119">
        <v>0</v>
      </c>
      <c r="T283" s="116" t="s">
        <v>1362</v>
      </c>
      <c r="U283" s="116" t="s">
        <v>92</v>
      </c>
      <c r="V283" s="116" t="s">
        <v>356</v>
      </c>
      <c r="W283" s="116">
        <v>20180507</v>
      </c>
      <c r="X283" s="116">
        <v>20181230</v>
      </c>
      <c r="Y283" s="116"/>
      <c r="Z283" s="116" t="s">
        <v>922</v>
      </c>
      <c r="AA283" s="116" t="s">
        <v>105</v>
      </c>
      <c r="AB283" s="116" t="s">
        <v>923</v>
      </c>
      <c r="AC283" s="116" t="s">
        <v>106</v>
      </c>
      <c r="AD283" s="116">
        <v>2018</v>
      </c>
      <c r="AE283" s="116" t="s">
        <v>96</v>
      </c>
      <c r="AF283" s="116" t="s">
        <v>289</v>
      </c>
      <c r="AG283" s="116" t="s">
        <v>1897</v>
      </c>
      <c r="AH283" s="116" t="s">
        <v>433</v>
      </c>
      <c r="AI283" s="116" t="s">
        <v>108</v>
      </c>
      <c r="AJ283" s="116" t="s">
        <v>1898</v>
      </c>
      <c r="AK283" s="116" t="s">
        <v>163</v>
      </c>
      <c r="AL283" s="116" t="s">
        <v>129</v>
      </c>
      <c r="AM283" s="116" t="s">
        <v>887</v>
      </c>
      <c r="AN283" s="116"/>
      <c r="AO283" s="120">
        <v>43456</v>
      </c>
      <c r="AP283" s="116" t="s">
        <v>807</v>
      </c>
      <c r="AQ283" s="116">
        <v>33</v>
      </c>
      <c r="AR283" s="123"/>
      <c r="AS283" s="122">
        <v>43435</v>
      </c>
      <c r="AT283" s="123"/>
      <c r="AU283" s="116"/>
      <c r="AV283" s="124"/>
      <c r="AW283" s="123"/>
      <c r="AX283" s="116" t="s">
        <v>433</v>
      </c>
    </row>
    <row r="284" spans="1:50" ht="15" hidden="1">
      <c r="A284" s="116" t="s">
        <v>2007</v>
      </c>
      <c r="B284" s="116" t="s">
        <v>90</v>
      </c>
      <c r="C284" s="116" t="s">
        <v>91</v>
      </c>
      <c r="D284" s="117">
        <v>0</v>
      </c>
      <c r="E284" s="118">
        <v>0</v>
      </c>
      <c r="F284" s="118">
        <v>0</v>
      </c>
      <c r="G284" s="118">
        <v>0</v>
      </c>
      <c r="H284" s="118">
        <v>0</v>
      </c>
      <c r="I284" s="118">
        <v>483</v>
      </c>
      <c r="J284" s="118">
        <v>0</v>
      </c>
      <c r="K284" s="118">
        <v>0</v>
      </c>
      <c r="L284" s="118">
        <v>0</v>
      </c>
      <c r="M284" s="118">
        <v>0</v>
      </c>
      <c r="N284" s="118">
        <v>483</v>
      </c>
      <c r="O284" s="119">
        <v>0</v>
      </c>
      <c r="P284" s="119">
        <v>0</v>
      </c>
      <c r="Q284" s="119">
        <v>0</v>
      </c>
      <c r="R284" s="119">
        <v>0</v>
      </c>
      <c r="S284" s="119">
        <v>0</v>
      </c>
      <c r="T284" s="116" t="s">
        <v>2008</v>
      </c>
      <c r="U284" s="116" t="s">
        <v>92</v>
      </c>
      <c r="V284" s="116" t="s">
        <v>357</v>
      </c>
      <c r="W284" s="116">
        <v>20180507</v>
      </c>
      <c r="X284" s="116">
        <v>20181230</v>
      </c>
      <c r="Y284" s="116"/>
      <c r="Z284" s="116" t="s">
        <v>922</v>
      </c>
      <c r="AA284" s="116" t="s">
        <v>105</v>
      </c>
      <c r="AB284" s="116" t="s">
        <v>923</v>
      </c>
      <c r="AC284" s="116" t="s">
        <v>106</v>
      </c>
      <c r="AD284" s="116">
        <v>2018</v>
      </c>
      <c r="AE284" s="116" t="s">
        <v>96</v>
      </c>
      <c r="AF284" s="116" t="s">
        <v>289</v>
      </c>
      <c r="AG284" s="116" t="s">
        <v>1988</v>
      </c>
      <c r="AH284" s="116" t="s">
        <v>343</v>
      </c>
      <c r="AI284" s="116" t="s">
        <v>162</v>
      </c>
      <c r="AJ284" s="116" t="s">
        <v>242</v>
      </c>
      <c r="AK284" s="116" t="s">
        <v>344</v>
      </c>
      <c r="AL284" s="116" t="s">
        <v>129</v>
      </c>
      <c r="AM284" s="116" t="s">
        <v>911</v>
      </c>
      <c r="AN284" s="116"/>
      <c r="AO284" s="120">
        <v>43460</v>
      </c>
      <c r="AP284" s="116" t="s">
        <v>111</v>
      </c>
      <c r="AQ284" s="116">
        <v>33</v>
      </c>
      <c r="AR284" s="123"/>
      <c r="AS284" s="122">
        <v>43435</v>
      </c>
      <c r="AT284" s="123"/>
      <c r="AU284" s="116"/>
      <c r="AV284" s="124"/>
      <c r="AW284" s="123"/>
      <c r="AX284" s="116" t="s">
        <v>343</v>
      </c>
    </row>
    <row r="285" spans="1:50" ht="15" hidden="1">
      <c r="A285" s="116" t="s">
        <v>2011</v>
      </c>
      <c r="B285" s="116" t="s">
        <v>90</v>
      </c>
      <c r="C285" s="116" t="s">
        <v>91</v>
      </c>
      <c r="D285" s="117">
        <v>0</v>
      </c>
      <c r="E285" s="118">
        <v>933.49</v>
      </c>
      <c r="F285" s="118">
        <v>1213.54</v>
      </c>
      <c r="G285" s="118">
        <v>1213.54</v>
      </c>
      <c r="H285" s="118">
        <v>0</v>
      </c>
      <c r="I285" s="118">
        <v>-1683.01</v>
      </c>
      <c r="J285" s="118">
        <v>0</v>
      </c>
      <c r="K285" s="118">
        <v>-15658</v>
      </c>
      <c r="L285" s="118">
        <v>0</v>
      </c>
      <c r="M285" s="118">
        <v>4437.96</v>
      </c>
      <c r="N285" s="118">
        <v>-12903.05</v>
      </c>
      <c r="O285" s="119">
        <v>0</v>
      </c>
      <c r="P285" s="119">
        <v>0</v>
      </c>
      <c r="Q285" s="119">
        <v>0</v>
      </c>
      <c r="R285" s="119">
        <v>0</v>
      </c>
      <c r="S285" s="119">
        <v>0</v>
      </c>
      <c r="T285" s="116" t="s">
        <v>1012</v>
      </c>
      <c r="U285" s="116" t="s">
        <v>92</v>
      </c>
      <c r="V285" s="116" t="s">
        <v>371</v>
      </c>
      <c r="W285" s="116">
        <v>20181121</v>
      </c>
      <c r="X285" s="116">
        <v>20181230</v>
      </c>
      <c r="Y285" s="116"/>
      <c r="Z285" s="116" t="s">
        <v>922</v>
      </c>
      <c r="AA285" s="116" t="s">
        <v>105</v>
      </c>
      <c r="AB285" s="116" t="s">
        <v>923</v>
      </c>
      <c r="AC285" s="116" t="s">
        <v>131</v>
      </c>
      <c r="AD285" s="116">
        <v>2017</v>
      </c>
      <c r="AE285" s="116" t="s">
        <v>96</v>
      </c>
      <c r="AF285" s="116" t="s">
        <v>954</v>
      </c>
      <c r="AG285" s="116" t="s">
        <v>1371</v>
      </c>
      <c r="AH285" s="116" t="s">
        <v>495</v>
      </c>
      <c r="AI285" s="116" t="s">
        <v>108</v>
      </c>
      <c r="AJ285" s="116" t="s">
        <v>1372</v>
      </c>
      <c r="AK285" s="116" t="s">
        <v>141</v>
      </c>
      <c r="AL285" s="116" t="s">
        <v>129</v>
      </c>
      <c r="AM285" s="116" t="s">
        <v>714</v>
      </c>
      <c r="AN285" s="116"/>
      <c r="AO285" s="120">
        <v>43465</v>
      </c>
      <c r="AP285" s="116" t="s">
        <v>111</v>
      </c>
      <c r="AQ285" s="116">
        <v>33</v>
      </c>
      <c r="AR285" s="125"/>
      <c r="AS285" s="122">
        <v>43435</v>
      </c>
      <c r="AT285" s="123"/>
      <c r="AU285" s="116"/>
      <c r="AV285" s="124"/>
      <c r="AW285" s="123"/>
      <c r="AX285" s="116" t="s">
        <v>495</v>
      </c>
    </row>
  </sheetData>
  <autoFilter ref="A1:AX285" xr:uid="{ED95DE2C-5C9D-49BB-A188-2A6E21DBDEC9}">
    <filterColumn colId="49">
      <filters>
        <filter val="MANUEL DELGADO ESPINOZA"/>
      </filters>
    </filterColumn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Emisión </vt:lpstr>
      <vt:lpstr>Siniestros</vt:lpstr>
      <vt:lpstr>Resumen</vt:lpstr>
      <vt:lpstr>Top Siniestros</vt:lpstr>
      <vt:lpstr>Top Pesos</vt:lpstr>
      <vt:lpstr>Siniestros Nacional</vt:lpstr>
      <vt:lpstr>Detalle Siniestros</vt:lpstr>
    </vt:vector>
  </TitlesOfParts>
  <Company>GNP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Ramírez Torres</dc:creator>
  <cp:lastModifiedBy>Arturo</cp:lastModifiedBy>
  <dcterms:created xsi:type="dcterms:W3CDTF">2019-05-13T22:11:41Z</dcterms:created>
  <dcterms:modified xsi:type="dcterms:W3CDTF">2019-12-09T16:50:35Z</dcterms:modified>
</cp:coreProperties>
</file>